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Cases'!$A$1:$I$1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70AD47"/>
        <bgColor rgb="0070AD47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50" customWidth="1" min="4" max="4"/>
    <col width="35" customWidth="1" min="5" max="5"/>
    <col width="30" customWidth="1" min="6" max="6"/>
    <col width="10" customWidth="1" min="7" max="7"/>
    <col width="8" customWidth="1" min="8" max="8"/>
    <col width="30" customWidth="1" min="9" max="9"/>
  </cols>
  <sheetData>
    <row r="1">
      <c r="A1" s="1" t="inlineStr">
        <is>
          <t>TC-ID</t>
        </is>
      </c>
      <c r="B1" s="1" t="inlineStr">
        <is>
          <t>Category</t>
        </is>
      </c>
      <c r="C1" s="1" t="inlineStr">
        <is>
          <t>Test Case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Notes</t>
        </is>
      </c>
    </row>
    <row r="2">
      <c r="A2" s="2" t="inlineStr">
        <is>
          <t>TC-V22-001</t>
        </is>
      </c>
      <c r="B2" s="2" t="inlineStr">
        <is>
          <t>Authentication</t>
        </is>
      </c>
      <c r="C2" s="2" t="inlineStr">
        <is>
          <t>Google OAuth error displays message</t>
        </is>
      </c>
      <c r="D2" s="2" t="inlineStr">
        <is>
          <t>1. Navigate to /auth/login 2. Click Continue with Google 3. Observe error=OAuthSignin in URL</t>
        </is>
      </c>
      <c r="E2" s="2" t="inlineStr">
        <is>
          <t>Red error banner: 'Google Sign-in failed. Please try again or use email login.'</t>
        </is>
      </c>
      <c r="F2" s="2" t="inlineStr">
        <is>
          <t>Error banner displayed correctly</t>
        </is>
      </c>
      <c r="G2" s="2" t="inlineStr">
        <is>
          <t>PASS</t>
        </is>
      </c>
      <c r="H2" s="2" t="inlineStr">
        <is>
          <t>P1</t>
        </is>
      </c>
      <c r="I2" s="2" t="inlineStr">
        <is>
          <t>V21 fix verified</t>
        </is>
      </c>
    </row>
    <row r="3">
      <c r="A3" s="3" t="inlineStr">
        <is>
          <t>TC-V22-002</t>
        </is>
      </c>
      <c r="B3" s="3" t="inlineStr">
        <is>
          <t>Authentication</t>
        </is>
      </c>
      <c r="C3" s="3" t="inlineStr">
        <is>
          <t>Google OAuth success flow</t>
        </is>
      </c>
      <c r="D3" s="3" t="inlineStr">
        <is>
          <t>1. Navigate to /auth/login 2. Click Continue with Google with valid credentials</t>
        </is>
      </c>
      <c r="E3" s="3" t="inlineStr">
        <is>
          <t>Successful redirect to dashboard</t>
        </is>
      </c>
      <c r="F3" s="3" t="inlineStr">
        <is>
          <t>Cannot verify (test environment)</t>
        </is>
      </c>
      <c r="G3" s="3" t="inlineStr">
        <is>
          <t>BLOCKED</t>
        </is>
      </c>
      <c r="H3" s="3" t="inlineStr">
        <is>
          <t>P1</t>
        </is>
      </c>
      <c r="I3" s="3" t="inlineStr">
        <is>
          <t>Requires valid OAuth credentials</t>
        </is>
      </c>
    </row>
    <row r="4">
      <c r="A4" s="2" t="inlineStr">
        <is>
          <t>TC-V22-003</t>
        </is>
      </c>
      <c r="B4" s="2" t="inlineStr">
        <is>
          <t>Security</t>
        </is>
      </c>
      <c r="C4" s="2" t="inlineStr">
        <is>
          <t>/api/listings unauthenticated access blocked</t>
        </is>
      </c>
      <c r="D4" s="2" t="inlineStr">
        <is>
          <t>1. Send GET to /api/listings without cookies</t>
        </is>
      </c>
      <c r="E4" s="2" t="inlineStr">
        <is>
          <t>HTTP 401 Unauthorized</t>
        </is>
      </c>
      <c r="F4" s="2" t="inlineStr">
        <is>
          <t>401 returned</t>
        </is>
      </c>
      <c r="G4" s="2" t="inlineStr">
        <is>
          <t>PASS</t>
        </is>
      </c>
      <c r="H4" s="2" t="inlineStr">
        <is>
          <t>P1</t>
        </is>
      </c>
      <c r="I4" s="2" t="inlineStr">
        <is>
          <t>V21 fix verified</t>
        </is>
      </c>
    </row>
    <row r="5">
      <c r="A5" s="3" t="inlineStr">
        <is>
          <t>TC-V22-004</t>
        </is>
      </c>
      <c r="B5" s="3" t="inlineStr">
        <is>
          <t>Security</t>
        </is>
      </c>
      <c r="C5" s="3" t="inlineStr">
        <is>
          <t>/api/listings authenticated access works</t>
        </is>
      </c>
      <c r="D5" s="3" t="inlineStr">
        <is>
          <t>1. Send GET to /api/listings with valid session cookie</t>
        </is>
      </c>
      <c r="E5" s="3" t="inlineStr">
        <is>
          <t>HTTP 200 with full listing data</t>
        </is>
      </c>
      <c r="F5" s="3" t="inlineStr">
        <is>
          <t>Cannot verify (no test session)</t>
        </is>
      </c>
      <c r="G5" s="3" t="inlineStr">
        <is>
          <t>BLOCKED</t>
        </is>
      </c>
      <c r="H5" s="3" t="inlineStr">
        <is>
          <t>P1</t>
        </is>
      </c>
      <c r="I5" s="3" t="inlineStr">
        <is>
          <t>Requires auth cookie</t>
        </is>
      </c>
    </row>
    <row r="6">
      <c r="A6" s="2" t="inlineStr">
        <is>
          <t>TC-V22-005</t>
        </is>
      </c>
      <c r="B6" s="2" t="inlineStr">
        <is>
          <t>Security</t>
        </is>
      </c>
      <c r="C6" s="2" t="inlineStr">
        <is>
          <t>/api/transactions auth enforcement</t>
        </is>
      </c>
      <c r="D6" s="2" t="inlineStr">
        <is>
          <t>1. Send GET to /api/transactions without auth</t>
        </is>
      </c>
      <c r="E6" s="2" t="inlineStr">
        <is>
          <t>HTTP 401</t>
        </is>
      </c>
      <c r="F6" s="2" t="inlineStr">
        <is>
          <t>401 returned</t>
        </is>
      </c>
      <c r="G6" s="2" t="inlineStr">
        <is>
          <t>PASS</t>
        </is>
      </c>
      <c r="H6" s="2" t="inlineStr">
        <is>
          <t>P1</t>
        </is>
      </c>
      <c r="I6" s="2" t="inlineStr"/>
    </row>
    <row r="7">
      <c r="A7" s="3" t="inlineStr">
        <is>
          <t>TC-V22-006</t>
        </is>
      </c>
      <c r="B7" s="3" t="inlineStr">
        <is>
          <t>Security</t>
        </is>
      </c>
      <c r="C7" s="3" t="inlineStr">
        <is>
          <t>/api/disputes auth enforcement</t>
        </is>
      </c>
      <c r="D7" s="3" t="inlineStr">
        <is>
          <t>1. Send GET to /api/disputes without auth</t>
        </is>
      </c>
      <c r="E7" s="3" t="inlineStr">
        <is>
          <t>HTTP 401</t>
        </is>
      </c>
      <c r="F7" s="3" t="inlineStr">
        <is>
          <t>401 returned</t>
        </is>
      </c>
      <c r="G7" s="3" t="inlineStr">
        <is>
          <t>PASS</t>
        </is>
      </c>
      <c r="H7" s="3" t="inlineStr">
        <is>
          <t>P1</t>
        </is>
      </c>
      <c r="I7" s="3" t="inlineStr"/>
    </row>
    <row r="8">
      <c r="A8" s="2" t="inlineStr">
        <is>
          <t>TC-V22-007</t>
        </is>
      </c>
      <c r="B8" s="2" t="inlineStr">
        <is>
          <t>Security</t>
        </is>
      </c>
      <c r="C8" s="2" t="inlineStr">
        <is>
          <t>/api/notifications auth enforcement</t>
        </is>
      </c>
      <c r="D8" s="2" t="inlineStr">
        <is>
          <t>1. Send GET to /api/notifications without auth</t>
        </is>
      </c>
      <c r="E8" s="2" t="inlineStr">
        <is>
          <t>HTTP 401</t>
        </is>
      </c>
      <c r="F8" s="2" t="inlineStr">
        <is>
          <t>401 returned</t>
        </is>
      </c>
      <c r="G8" s="2" t="inlineStr">
        <is>
          <t>PASS</t>
        </is>
      </c>
      <c r="H8" s="2" t="inlineStr">
        <is>
          <t>P1</t>
        </is>
      </c>
      <c r="I8" s="2" t="inlineStr"/>
    </row>
    <row r="9">
      <c r="A9" s="3" t="inlineStr">
        <is>
          <t>TC-V22-008</t>
        </is>
      </c>
      <c r="B9" s="3" t="inlineStr">
        <is>
          <t>Navigation</t>
        </is>
      </c>
      <c r="C9" s="3" t="inlineStr">
        <is>
          <t>Admin 404 preserves layout</t>
        </is>
      </c>
      <c r="D9" s="3" t="inlineStr">
        <is>
          <t>1. Navigate to /admin/nonexistent-page</t>
        </is>
      </c>
      <c r="E9" s="3" t="inlineStr">
        <is>
          <t>Custom 404 with sidebar visible</t>
        </is>
      </c>
      <c r="F9" s="3" t="inlineStr">
        <is>
          <t>Sidebar preserved, styled 404 shown</t>
        </is>
      </c>
      <c r="G9" s="3" t="inlineStr">
        <is>
          <t>PASS</t>
        </is>
      </c>
      <c r="H9" s="3" t="inlineStr">
        <is>
          <t>P2</t>
        </is>
      </c>
      <c r="I9" s="3" t="inlineStr">
        <is>
          <t>V21 fix verified</t>
        </is>
      </c>
    </row>
    <row r="10">
      <c r="A10" s="2" t="inlineStr">
        <is>
          <t>TC-V22-009</t>
        </is>
      </c>
      <c r="B10" s="2" t="inlineStr">
        <is>
          <t>Navigation</t>
        </is>
      </c>
      <c r="C10" s="2" t="inlineStr">
        <is>
          <t>/dashboard redirect to /admin</t>
        </is>
      </c>
      <c r="D10" s="2" t="inlineStr">
        <is>
          <t>1. Navigate directly to /dashboard</t>
        </is>
      </c>
      <c r="E10" s="2" t="inlineStr">
        <is>
          <t>Redirect to /admin with full layout</t>
        </is>
      </c>
      <c r="F10" s="2" t="inlineStr">
        <is>
          <t>Redirected correctly</t>
        </is>
      </c>
      <c r="G10" s="2" t="inlineStr">
        <is>
          <t>PASS</t>
        </is>
      </c>
      <c r="H10" s="2" t="inlineStr">
        <is>
          <t>P2</t>
        </is>
      </c>
      <c r="I10" s="2" t="inlineStr">
        <is>
          <t>V21 fix verified</t>
        </is>
      </c>
    </row>
    <row r="11">
      <c r="A11" s="3" t="inlineStr">
        <is>
          <t>TC-V22-010</t>
        </is>
      </c>
      <c r="B11" s="3" t="inlineStr">
        <is>
          <t>Performance</t>
        </is>
      </c>
      <c r="C11" s="3" t="inlineStr">
        <is>
          <t>Beta landing TTFB &lt; 800ms</t>
        </is>
      </c>
      <c r="D11" s="3" t="inlineStr">
        <is>
          <t>1. Navigate to beta.cardvault.id 2. Measure TTFB</t>
        </is>
      </c>
      <c r="E11" s="3" t="inlineStr">
        <is>
          <t>TTFB under 800ms</t>
        </is>
      </c>
      <c r="F11" s="3" t="inlineStr">
        <is>
          <t>305ms (PASS)</t>
        </is>
      </c>
      <c r="G11" s="3" t="inlineStr">
        <is>
          <t>PASS</t>
        </is>
      </c>
      <c r="H11" s="3" t="inlineStr">
        <is>
          <t>P2</t>
        </is>
      </c>
      <c r="I11" s="3" t="inlineStr">
        <is>
          <t>V21 fix verified</t>
        </is>
      </c>
    </row>
    <row r="12">
      <c r="A12" s="2" t="inlineStr">
        <is>
          <t>TC-V22-011</t>
        </is>
      </c>
      <c r="B12" s="2" t="inlineStr">
        <is>
          <t>Security</t>
        </is>
      </c>
      <c r="C12" s="2" t="inlineStr">
        <is>
          <t>HSTS header present on beta</t>
        </is>
      </c>
      <c r="D12" s="2" t="inlineStr">
        <is>
          <t>1. Check response headers for beta.cardvault.id</t>
        </is>
      </c>
      <c r="E12" s="2" t="inlineStr">
        <is>
          <t>HSTS with max-age &gt;= 31536000</t>
        </is>
      </c>
      <c r="F12" s="2" t="inlineStr">
        <is>
          <t>Present with preload</t>
        </is>
      </c>
      <c r="G12" s="2" t="inlineStr">
        <is>
          <t>PASS</t>
        </is>
      </c>
      <c r="H12" s="2" t="inlineStr">
        <is>
          <t>P2</t>
        </is>
      </c>
      <c r="I12" s="2" t="inlineStr"/>
    </row>
    <row r="13">
      <c r="A13" s="3" t="inlineStr">
        <is>
          <t>TC-V22-012</t>
        </is>
      </c>
      <c r="B13" s="3" t="inlineStr">
        <is>
          <t>Security</t>
        </is>
      </c>
      <c r="C13" s="3" t="inlineStr">
        <is>
          <t>CSP with nonces on beta</t>
        </is>
      </c>
      <c r="D13" s="3" t="inlineStr">
        <is>
          <t>1. Check CSP header on beta.cardvault.id</t>
        </is>
      </c>
      <c r="E13" s="3" t="inlineStr">
        <is>
          <t>CSP with nonce-based script-src</t>
        </is>
      </c>
      <c r="F13" s="3" t="inlineStr">
        <is>
          <t>Nonce-based CSP active</t>
        </is>
      </c>
      <c r="G13" s="3" t="inlineStr">
        <is>
          <t>PASS</t>
        </is>
      </c>
      <c r="H13" s="3" t="inlineStr">
        <is>
          <t>P2</t>
        </is>
      </c>
      <c r="I13" s="3" t="inlineStr"/>
    </row>
    <row r="14">
      <c r="A14" s="2" t="inlineStr">
        <is>
          <t>TC-V22-013</t>
        </is>
      </c>
      <c r="B14" s="2" t="inlineStr">
        <is>
          <t>Security</t>
        </is>
      </c>
      <c r="C14" s="2" t="inlineStr">
        <is>
          <t>HSTS header present on admin</t>
        </is>
      </c>
      <c r="D14" s="2" t="inlineStr">
        <is>
          <t>1. Check response headers for admin.cardvault.id</t>
        </is>
      </c>
      <c r="E14" s="2" t="inlineStr">
        <is>
          <t>HSTS with max-age &gt;= 31536000</t>
        </is>
      </c>
      <c r="F14" s="2" t="inlineStr">
        <is>
          <t>Present with preload</t>
        </is>
      </c>
      <c r="G14" s="2" t="inlineStr">
        <is>
          <t>PASS</t>
        </is>
      </c>
      <c r="H14" s="2" t="inlineStr">
        <is>
          <t>P2</t>
        </is>
      </c>
      <c r="I14" s="2" t="inlineStr"/>
    </row>
    <row r="15">
      <c r="A15" s="3" t="inlineStr">
        <is>
          <t>TC-V22-014</t>
        </is>
      </c>
      <c r="B15" s="3" t="inlineStr">
        <is>
          <t>Security</t>
        </is>
      </c>
      <c r="C15" s="3" t="inlineStr">
        <is>
          <t>CSP with nonces on admin</t>
        </is>
      </c>
      <c r="D15" s="3" t="inlineStr">
        <is>
          <t>1. Check CSP header on admin.cardvault.id</t>
        </is>
      </c>
      <c r="E15" s="3" t="inlineStr">
        <is>
          <t>CSP with nonce-based script-src</t>
        </is>
      </c>
      <c r="F15" s="3" t="inlineStr">
        <is>
          <t>Nonce-based CSP active</t>
        </is>
      </c>
      <c r="G15" s="3" t="inlineStr">
        <is>
          <t>PASS</t>
        </is>
      </c>
      <c r="H15" s="3" t="inlineStr">
        <is>
          <t>P2</t>
        </is>
      </c>
      <c r="I15" s="3" t="inlineStr"/>
    </row>
    <row r="16">
      <c r="A16" s="2" t="inlineStr">
        <is>
          <t>TC-V22-015</t>
        </is>
      </c>
      <c r="B16" s="2" t="inlineStr">
        <is>
          <t>Auth Redirect</t>
        </is>
      </c>
      <c r="C16" s="2" t="inlineStr">
        <is>
          <t>/explore redirects to login</t>
        </is>
      </c>
      <c r="D16" s="2" t="inlineStr">
        <is>
          <t>1. Navigate to /explore unauthenticated</t>
        </is>
      </c>
      <c r="E16" s="2" t="inlineStr">
        <is>
          <t>Redirect to /auth/login</t>
        </is>
      </c>
      <c r="F16" s="2" t="inlineStr">
        <is>
          <t>Redirected correctly</t>
        </is>
      </c>
      <c r="G16" s="2" t="inlineStr">
        <is>
          <t>PASS</t>
        </is>
      </c>
      <c r="H16" s="2" t="inlineStr">
        <is>
          <t>P2</t>
        </is>
      </c>
      <c r="I16" s="2" t="inlineStr"/>
    </row>
    <row r="17">
      <c r="A17" s="3" t="inlineStr">
        <is>
          <t>TC-V22-016</t>
        </is>
      </c>
      <c r="B17" s="3" t="inlineStr">
        <is>
          <t>Auth Redirect</t>
        </is>
      </c>
      <c r="C17" s="3" t="inlineStr">
        <is>
          <t>/sell redirects to login</t>
        </is>
      </c>
      <c r="D17" s="3" t="inlineStr">
        <is>
          <t>1. Navigate to /sell unauthenticated</t>
        </is>
      </c>
      <c r="E17" s="3" t="inlineStr">
        <is>
          <t>Redirect to /auth/login</t>
        </is>
      </c>
      <c r="F17" s="3" t="inlineStr">
        <is>
          <t>Redirected correctly</t>
        </is>
      </c>
      <c r="G17" s="3" t="inlineStr">
        <is>
          <t>PASS</t>
        </is>
      </c>
      <c r="H17" s="3" t="inlineStr">
        <is>
          <t>P2</t>
        </is>
      </c>
      <c r="I17" s="3" t="inlineStr"/>
    </row>
    <row r="18">
      <c r="A18" s="2" t="inlineStr">
        <is>
          <t>TC-V22-017</t>
        </is>
      </c>
      <c r="B18" s="2" t="inlineStr">
        <is>
          <t>Auth Redirect</t>
        </is>
      </c>
      <c r="C18" s="2" t="inlineStr">
        <is>
          <t>/profile redirects to login</t>
        </is>
      </c>
      <c r="D18" s="2" t="inlineStr">
        <is>
          <t>1. Navigate to /profile unauthenticated</t>
        </is>
      </c>
      <c r="E18" s="2" t="inlineStr">
        <is>
          <t>Redirect to /auth/login</t>
        </is>
      </c>
      <c r="F18" s="2" t="inlineStr">
        <is>
          <t>Redirected correctly</t>
        </is>
      </c>
      <c r="G18" s="2" t="inlineStr">
        <is>
          <t>PASS</t>
        </is>
      </c>
      <c r="H18" s="2" t="inlineStr">
        <is>
          <t>P2</t>
        </is>
      </c>
      <c r="I18" s="2" t="inlineStr"/>
    </row>
    <row r="19">
      <c r="A19" s="3" t="inlineStr">
        <is>
          <t>TC-V22-018</t>
        </is>
      </c>
      <c r="B19" s="3" t="inlineStr">
        <is>
          <t>Auth Redirect</t>
        </is>
      </c>
      <c r="C19" s="3" t="inlineStr">
        <is>
          <t>/messages redirects to login</t>
        </is>
      </c>
      <c r="D19" s="3" t="inlineStr">
        <is>
          <t>1. Navigate to /messages unauthenticated</t>
        </is>
      </c>
      <c r="E19" s="3" t="inlineStr">
        <is>
          <t>Redirect to /auth/login</t>
        </is>
      </c>
      <c r="F19" s="3" t="inlineStr">
        <is>
          <t>Redirected correctly</t>
        </is>
      </c>
      <c r="G19" s="3" t="inlineStr">
        <is>
          <t>PASS</t>
        </is>
      </c>
      <c r="H19" s="3" t="inlineStr">
        <is>
          <t>P2</t>
        </is>
      </c>
      <c r="I19" s="3" t="inlineStr"/>
    </row>
    <row r="20">
      <c r="A20" s="2" t="inlineStr">
        <is>
          <t>TC-V22-019</t>
        </is>
      </c>
      <c r="B20" s="2" t="inlineStr">
        <is>
          <t>Info Disclosure</t>
        </is>
      </c>
      <c r="C20" s="2" t="inlineStr">
        <is>
          <t>Version number hidden in production</t>
        </is>
      </c>
      <c r="D20" s="2" t="inlineStr">
        <is>
          <t>1. Check for version string in page content</t>
        </is>
      </c>
      <c r="E20" s="2" t="inlineStr">
        <is>
          <t>No version visible to users</t>
        </is>
      </c>
      <c r="F20" s="2" t="inlineStr">
        <is>
          <t>v0.9.0 visible top-right</t>
        </is>
      </c>
      <c r="G20" s="2" t="inlineStr">
        <is>
          <t>FAIL</t>
        </is>
      </c>
      <c r="H20" s="2" t="inlineStr">
        <is>
          <t>P3</t>
        </is>
      </c>
      <c r="I20" s="2" t="inlineStr">
        <is>
          <t>Open finding CVA-V22-001</t>
        </is>
      </c>
    </row>
    <row r="21">
      <c r="A21" s="3" t="inlineStr">
        <is>
          <t>TC-V22-020</t>
        </is>
      </c>
      <c r="B21" s="3" t="inlineStr">
        <is>
          <t>Info Disclosure</t>
        </is>
      </c>
      <c r="C21" s="3" t="inlineStr">
        <is>
          <t>Admin email masked in sidebar</t>
        </is>
      </c>
      <c r="D21" s="3" t="inlineStr">
        <is>
          <t>1. Check admin sidebar for email display</t>
        </is>
      </c>
      <c r="E21" s="3" t="inlineStr">
        <is>
          <t>Email masked or hidden</t>
        </is>
      </c>
      <c r="F21" s="3" t="inlineStr">
        <is>
          <t>Email plaintext visible</t>
        </is>
      </c>
      <c r="G21" s="3" t="inlineStr">
        <is>
          <t>FAIL</t>
        </is>
      </c>
      <c r="H21" s="3" t="inlineStr">
        <is>
          <t>P3</t>
        </is>
      </c>
      <c r="I21" s="3" t="inlineStr">
        <is>
          <t>Open finding CVA-V22-002</t>
        </is>
      </c>
    </row>
    <row r="22">
      <c r="A22" s="2" t="inlineStr">
        <is>
          <t>TC-V22-021</t>
        </is>
      </c>
      <c r="B22" s="2" t="inlineStr">
        <is>
          <t>Performance</t>
        </is>
      </c>
      <c r="C22" s="2" t="inlineStr">
        <is>
          <t>All admin pages load under 1s</t>
        </is>
      </c>
      <c r="D22" s="2" t="inlineStr">
        <is>
          <t>1. Navigate each admin page 2. Measure full load time</t>
        </is>
      </c>
      <c r="E22" s="2" t="inlineStr">
        <is>
          <t>All pages &lt; 1000ms</t>
        </is>
      </c>
      <c r="F22" s="2" t="inlineStr">
        <is>
          <t>All pages under 1000ms</t>
        </is>
      </c>
      <c r="G22" s="2" t="inlineStr">
        <is>
          <t>PASS</t>
        </is>
      </c>
      <c r="H22" s="2" t="inlineStr">
        <is>
          <t>P2</t>
        </is>
      </c>
      <c r="I22" s="2" t="inlineStr"/>
    </row>
    <row r="23">
      <c r="A23" s="3" t="inlineStr">
        <is>
          <t>TC-V22-022</t>
        </is>
      </c>
      <c r="B23" s="3" t="inlineStr">
        <is>
          <t>Security</t>
        </is>
      </c>
      <c r="C23" s="3" t="inlineStr">
        <is>
          <t>X-Frame-Options DENY on both sites</t>
        </is>
      </c>
      <c r="D23" s="3" t="inlineStr">
        <is>
          <t>1. Check X-Frame-Options header</t>
        </is>
      </c>
      <c r="E23" s="3" t="inlineStr">
        <is>
          <t>DENY</t>
        </is>
      </c>
      <c r="F23" s="3" t="inlineStr">
        <is>
          <t>DENY confirmed</t>
        </is>
      </c>
      <c r="G23" s="3" t="inlineStr">
        <is>
          <t>PASS</t>
        </is>
      </c>
      <c r="H23" s="3" t="inlineStr">
        <is>
          <t>P2</t>
        </is>
      </c>
      <c r="I23" s="3" t="inlineStr"/>
    </row>
    <row r="24">
      <c r="A24" s="2" t="inlineStr">
        <is>
          <t>TC-V22-023</t>
        </is>
      </c>
      <c r="B24" s="2" t="inlineStr">
        <is>
          <t>Security</t>
        </is>
      </c>
      <c r="C24" s="2" t="inlineStr">
        <is>
          <t>X-Content-Type-Options nosniff</t>
        </is>
      </c>
      <c r="D24" s="2" t="inlineStr">
        <is>
          <t>1. Check response headers</t>
        </is>
      </c>
      <c r="E24" s="2" t="inlineStr">
        <is>
          <t>nosniff</t>
        </is>
      </c>
      <c r="F24" s="2" t="inlineStr">
        <is>
          <t>nosniff confirmed</t>
        </is>
      </c>
      <c r="G24" s="2" t="inlineStr">
        <is>
          <t>PASS</t>
        </is>
      </c>
      <c r="H24" s="2" t="inlineStr">
        <is>
          <t>P2</t>
        </is>
      </c>
      <c r="I24" s="2" t="inlineStr"/>
    </row>
    <row r="25">
      <c r="A25" s="3" t="inlineStr">
        <is>
          <t>TC-V22-024</t>
        </is>
      </c>
      <c r="B25" s="3" t="inlineStr">
        <is>
          <t>Console</t>
        </is>
      </c>
      <c r="C25" s="3" t="inlineStr">
        <is>
          <t>Zero console errors on beta</t>
        </is>
      </c>
      <c r="D25" s="3" t="inlineStr">
        <is>
          <t>1. Open beta.cardvault.id 2. Check browser console</t>
        </is>
      </c>
      <c r="E25" s="3" t="inlineStr">
        <is>
          <t>No console errors</t>
        </is>
      </c>
      <c r="F25" s="3" t="inlineStr">
        <is>
          <t>Zero errors</t>
        </is>
      </c>
      <c r="G25" s="3" t="inlineStr">
        <is>
          <t>PASS</t>
        </is>
      </c>
      <c r="H25" s="3" t="inlineStr">
        <is>
          <t>P2</t>
        </is>
      </c>
      <c r="I25" s="3" t="inlineStr"/>
    </row>
    <row r="26">
      <c r="A26" s="2" t="inlineStr">
        <is>
          <t>TC-V22-025</t>
        </is>
      </c>
      <c r="B26" s="2" t="inlineStr">
        <is>
          <t>Console</t>
        </is>
      </c>
      <c r="C26" s="2" t="inlineStr">
        <is>
          <t>Zero console errors on admin</t>
        </is>
      </c>
      <c r="D26" s="2" t="inlineStr">
        <is>
          <t>1. Open admin.cardvault.id 2. Check browser console</t>
        </is>
      </c>
      <c r="E26" s="2" t="inlineStr">
        <is>
          <t>No console errors</t>
        </is>
      </c>
      <c r="F26" s="2" t="inlineStr">
        <is>
          <t>Zero errors</t>
        </is>
      </c>
      <c r="G26" s="2" t="inlineStr">
        <is>
          <t>PASS</t>
        </is>
      </c>
      <c r="H26" s="2" t="inlineStr">
        <is>
          <t>P2</t>
        </is>
      </c>
      <c r="I26" s="2" t="inlineStr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4" t="inlineStr">
        <is>
          <t>Test Case Summary</t>
        </is>
      </c>
      <c r="B1" s="4" t="inlineStr"/>
    </row>
    <row r="2">
      <c r="A2" s="4" t="inlineStr"/>
      <c r="B2" s="4" t="inlineStr"/>
    </row>
    <row r="3">
      <c r="A3" s="4" t="inlineStr">
        <is>
          <t>Total Test Cases</t>
        </is>
      </c>
      <c r="B3" s="4">
        <f>COUNTA('Test Cases'!A2:A26)</f>
        <v/>
      </c>
    </row>
    <row r="4">
      <c r="A4" s="4" t="inlineStr">
        <is>
          <t>Passed</t>
        </is>
      </c>
      <c r="B4" s="4">
        <f>COUNTIF('Test Cases'!G2:G26,"PASS")</f>
        <v/>
      </c>
    </row>
    <row r="5">
      <c r="A5" s="4" t="inlineStr">
        <is>
          <t>Failed</t>
        </is>
      </c>
      <c r="B5" s="4">
        <f>COUNTIF('Test Cases'!G2:G26,"FAIL")</f>
        <v/>
      </c>
    </row>
    <row r="6">
      <c r="A6" s="4" t="inlineStr">
        <is>
          <t>Blocked</t>
        </is>
      </c>
      <c r="B6" s="4">
        <f>COUNTIF('Test Cases'!G2:G26,"BLOCKED")</f>
        <v/>
      </c>
    </row>
    <row r="7">
      <c r="A7" s="4" t="inlineStr"/>
      <c r="B7" s="4" t="inlineStr"/>
    </row>
    <row r="8">
      <c r="A8" s="4" t="inlineStr">
        <is>
          <t>Pass Rate (excl. blocked)</t>
        </is>
      </c>
      <c r="B8" s="4">
        <f>COUNTIF('Test Cases'!G2:G26,"PASS")/(COUNTA('Test Cases'!A2:A26)-COUNTIF('Test Cases'!G2:G26,"BLOCKED"))</f>
        <v/>
      </c>
    </row>
    <row r="9">
      <c r="A9" s="4" t="inlineStr"/>
      <c r="B9" s="4" t="inlineStr"/>
    </row>
    <row r="10">
      <c r="A10" s="4" t="inlineStr">
        <is>
          <t>Coverage by Category</t>
        </is>
      </c>
      <c r="B10" s="4" t="inlineStr"/>
    </row>
    <row r="11">
      <c r="A11" s="4" t="inlineStr">
        <is>
          <t>Authentication</t>
        </is>
      </c>
      <c r="B11" s="4">
        <f>COUNTIF('Test Cases'!B2:B26,"Authentication")</f>
        <v/>
      </c>
    </row>
    <row r="12">
      <c r="A12" s="4" t="inlineStr">
        <is>
          <t>Security</t>
        </is>
      </c>
      <c r="B12" s="4">
        <f>COUNTIF('Test Cases'!B2:B26,"Security")</f>
        <v/>
      </c>
    </row>
    <row r="13">
      <c r="A13" s="4" t="inlineStr">
        <is>
          <t>Navigation</t>
        </is>
      </c>
      <c r="B13" s="4">
        <f>COUNTIF('Test Cases'!B2:B26,"Navigation")</f>
        <v/>
      </c>
    </row>
    <row r="14">
      <c r="A14" s="4" t="inlineStr">
        <is>
          <t>Performance</t>
        </is>
      </c>
      <c r="B14" s="4">
        <f>COUNTIF('Test Cases'!B2:B26,"Performance")</f>
        <v/>
      </c>
    </row>
    <row r="15">
      <c r="A15" s="4" t="inlineStr">
        <is>
          <t>Auth Redirect</t>
        </is>
      </c>
      <c r="B15" s="4">
        <f>COUNTIF('Test Cases'!B2:B26,"Auth Redirect")</f>
        <v/>
      </c>
    </row>
    <row r="16">
      <c r="A16" s="4" t="inlineStr">
        <is>
          <t>Info Disclosure</t>
        </is>
      </c>
      <c r="B16" s="4">
        <f>COUNTIF('Test Cases'!B2:B26,"Info Disclosure")</f>
        <v/>
      </c>
    </row>
    <row r="17">
      <c r="A17" s="4" t="inlineStr">
        <is>
          <t>Console</t>
        </is>
      </c>
      <c r="B17" s="4">
        <f>COUNTIF('Test Cases'!B2:B26,"Console")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2026-04-04T07:33:54Z</dcterms:created>
  <dcterms:modified xmlns:dcterms="http://purl.org/dc/terms/" xmlns:xsi="http://www.w3.org/2001/XMLSchema-instance" xsi:type="dcterms:W3CDTF">2026-04-04T07:33:57Z</dcterms:modified>
</cp:coreProperties>
</file>