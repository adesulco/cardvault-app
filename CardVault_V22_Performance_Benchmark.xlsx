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enchmarks" sheetId="1" state="visible" r:id="rId1"/>
    <sheet xmlns:r="http://schemas.openxmlformats.org/officeDocument/2006/relationships" name="Summary Sta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5090"/>
        <bgColor rgb="002E509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15" customWidth="1" min="5" max="5"/>
    <col width="14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Site</t>
        </is>
      </c>
      <c r="B1" s="1" t="inlineStr">
        <is>
          <t>Page</t>
        </is>
      </c>
      <c r="C1" s="1" t="inlineStr">
        <is>
          <t>Route</t>
        </is>
      </c>
      <c r="D1" s="1" t="inlineStr">
        <is>
          <t>TTFB (ms)</t>
        </is>
      </c>
      <c r="E1" s="1" t="inlineStr">
        <is>
          <t>DOM Loaded (ms)</t>
        </is>
      </c>
      <c r="F1" s="1" t="inlineStr">
        <is>
          <t>Full Load (ms)</t>
        </is>
      </c>
      <c r="G1" s="1" t="inlineStr">
        <is>
          <t>Resources</t>
        </is>
      </c>
      <c r="H1" s="1" t="inlineStr">
        <is>
          <t>TTFB Rating</t>
        </is>
      </c>
      <c r="I1" s="1" t="inlineStr">
        <is>
          <t>Load Rating</t>
        </is>
      </c>
    </row>
    <row r="2">
      <c r="A2" s="2" t="inlineStr">
        <is>
          <t>Beta</t>
        </is>
      </c>
      <c r="B2" s="2" t="inlineStr">
        <is>
          <t>Landing Page</t>
        </is>
      </c>
      <c r="C2" s="2" t="inlineStr">
        <is>
          <t>/</t>
        </is>
      </c>
      <c r="D2" s="2" t="n">
        <v>305</v>
      </c>
      <c r="E2" s="2" t="n">
        <v>410</v>
      </c>
      <c r="F2" s="2" t="n">
        <v>490</v>
      </c>
      <c r="G2" s="2" t="n">
        <v>14</v>
      </c>
      <c r="H2" s="2">
        <f>IF(D2&lt;=100,"Excellent",IF(D2&lt;=300,"Good",IF(D2&lt;=800,"Acceptable","Slow")))</f>
        <v/>
      </c>
      <c r="I2" s="2">
        <f>IF(F2&lt;=500,"Excellent",IF(F2&lt;=800,"Good",IF(F2&lt;=1000,"Acceptable","Slow")))</f>
        <v/>
      </c>
    </row>
    <row r="3">
      <c r="A3" s="3" t="inlineStr">
        <is>
          <t>Beta</t>
        </is>
      </c>
      <c r="B3" s="3" t="inlineStr">
        <is>
          <t>Login Page</t>
        </is>
      </c>
      <c r="C3" s="3" t="inlineStr">
        <is>
          <t>/auth/login</t>
        </is>
      </c>
      <c r="D3" s="3" t="n">
        <v>396</v>
      </c>
      <c r="E3" s="3" t="n">
        <v>492</v>
      </c>
      <c r="F3" s="3" t="n">
        <v>537</v>
      </c>
      <c r="G3" s="3" t="n">
        <v>14</v>
      </c>
      <c r="H3" s="3">
        <f>IF(D3&lt;=100,"Excellent",IF(D3&lt;=300,"Good",IF(D3&lt;=800,"Acceptable","Slow")))</f>
        <v/>
      </c>
      <c r="I3" s="3">
        <f>IF(F3&lt;=500,"Excellent",IF(F3&lt;=800,"Good",IF(F3&lt;=1000,"Acceptable","Slow")))</f>
        <v/>
      </c>
    </row>
    <row r="4">
      <c r="A4" s="2" t="inlineStr">
        <is>
          <t>Admin</t>
        </is>
      </c>
      <c r="B4" s="2" t="inlineStr">
        <is>
          <t>Dashboard</t>
        </is>
      </c>
      <c r="C4" s="2" t="inlineStr">
        <is>
          <t>/admin</t>
        </is>
      </c>
      <c r="D4" s="2" t="n">
        <v>34</v>
      </c>
      <c r="E4" s="2" t="n">
        <v>604</v>
      </c>
      <c r="F4" s="2" t="n">
        <v>679</v>
      </c>
      <c r="G4" s="2" t="n">
        <v>19</v>
      </c>
      <c r="H4" s="2">
        <f>IF(D4&lt;=100,"Excellent",IF(D4&lt;=300,"Good",IF(D4&lt;=800,"Acceptable","Slow")))</f>
        <v/>
      </c>
      <c r="I4" s="2">
        <f>IF(F4&lt;=500,"Excellent",IF(F4&lt;=800,"Good",IF(F4&lt;=1000,"Acceptable","Slow")))</f>
        <v/>
      </c>
    </row>
    <row r="5">
      <c r="A5" s="3" t="inlineStr">
        <is>
          <t>Admin</t>
        </is>
      </c>
      <c r="B5" s="3" t="inlineStr">
        <is>
          <t>Users</t>
        </is>
      </c>
      <c r="C5" s="3" t="inlineStr">
        <is>
          <t>/admin/users</t>
        </is>
      </c>
      <c r="D5" s="3" t="n">
        <v>29</v>
      </c>
      <c r="E5" s="3" t="n">
        <v>733</v>
      </c>
      <c r="F5" s="3" t="n">
        <v>747</v>
      </c>
      <c r="G5" s="3" t="n">
        <v>18</v>
      </c>
      <c r="H5" s="3">
        <f>IF(D5&lt;=100,"Excellent",IF(D5&lt;=300,"Good",IF(D5&lt;=800,"Acceptable","Slow")))</f>
        <v/>
      </c>
      <c r="I5" s="3">
        <f>IF(F5&lt;=500,"Excellent",IF(F5&lt;=800,"Good",IF(F5&lt;=1000,"Acceptable","Slow")))</f>
        <v/>
      </c>
    </row>
    <row r="6">
      <c r="A6" s="2" t="inlineStr">
        <is>
          <t>Admin</t>
        </is>
      </c>
      <c r="B6" s="2" t="inlineStr">
        <is>
          <t>KYC Approvals</t>
        </is>
      </c>
      <c r="C6" s="2" t="inlineStr">
        <is>
          <t>/admin/kyc</t>
        </is>
      </c>
      <c r="D6" s="2" t="n">
        <v>24</v>
      </c>
      <c r="E6" s="2" t="n">
        <v>778</v>
      </c>
      <c r="F6" s="2" t="n">
        <v>793</v>
      </c>
      <c r="G6" s="2" t="n">
        <v>17</v>
      </c>
      <c r="H6" s="2">
        <f>IF(D6&lt;=100,"Excellent",IF(D6&lt;=300,"Good",IF(D6&lt;=800,"Acceptable","Slow")))</f>
        <v/>
      </c>
      <c r="I6" s="2">
        <f>IF(F6&lt;=500,"Excellent",IF(F6&lt;=800,"Good",IF(F6&lt;=1000,"Acceptable","Slow")))</f>
        <v/>
      </c>
    </row>
    <row r="7">
      <c r="A7" s="3" t="inlineStr">
        <is>
          <t>Admin</t>
        </is>
      </c>
      <c r="B7" s="3" t="inlineStr">
        <is>
          <t>Transactions</t>
        </is>
      </c>
      <c r="C7" s="3" t="inlineStr">
        <is>
          <t>/admin/transactions</t>
        </is>
      </c>
      <c r="D7" s="3" t="n">
        <v>30</v>
      </c>
      <c r="E7" s="3" t="n">
        <v>689</v>
      </c>
      <c r="F7" s="3" t="n">
        <v>702</v>
      </c>
      <c r="G7" s="3" t="n">
        <v>18</v>
      </c>
      <c r="H7" s="3">
        <f>IF(D7&lt;=100,"Excellent",IF(D7&lt;=300,"Good",IF(D7&lt;=800,"Acceptable","Slow")))</f>
        <v/>
      </c>
      <c r="I7" s="3">
        <f>IF(F7&lt;=500,"Excellent",IF(F7&lt;=800,"Good",IF(F7&lt;=1000,"Acceptable","Slow")))</f>
        <v/>
      </c>
    </row>
    <row r="8">
      <c r="A8" s="2" t="inlineStr">
        <is>
          <t>Admin</t>
        </is>
      </c>
      <c r="B8" s="2" t="inlineStr">
        <is>
          <t>Listings</t>
        </is>
      </c>
      <c r="C8" s="2" t="inlineStr">
        <is>
          <t>/admin/listings</t>
        </is>
      </c>
      <c r="D8" s="2" t="n">
        <v>31</v>
      </c>
      <c r="E8" s="2" t="n">
        <v>772</v>
      </c>
      <c r="F8" s="2" t="n">
        <v>790</v>
      </c>
      <c r="G8" s="2" t="n">
        <v>18</v>
      </c>
      <c r="H8" s="2">
        <f>IF(D8&lt;=100,"Excellent",IF(D8&lt;=300,"Good",IF(D8&lt;=800,"Acceptable","Slow")))</f>
        <v/>
      </c>
      <c r="I8" s="2">
        <f>IF(F8&lt;=500,"Excellent",IF(F8&lt;=800,"Good",IF(F8&lt;=1000,"Acceptable","Slow")))</f>
        <v/>
      </c>
    </row>
    <row r="9">
      <c r="A9" s="3" t="inlineStr">
        <is>
          <t>Admin</t>
        </is>
      </c>
      <c r="B9" s="3" t="inlineStr">
        <is>
          <t>Disputes</t>
        </is>
      </c>
      <c r="C9" s="3" t="inlineStr">
        <is>
          <t>/admin/disputes</t>
        </is>
      </c>
      <c r="D9" s="3" t="n">
        <v>27</v>
      </c>
      <c r="E9" s="3" t="n">
        <v>827</v>
      </c>
      <c r="F9" s="3" t="n">
        <v>843</v>
      </c>
      <c r="G9" s="3" t="n">
        <v>18</v>
      </c>
      <c r="H9" s="3">
        <f>IF(D9&lt;=100,"Excellent",IF(D9&lt;=300,"Good",IF(D9&lt;=800,"Acceptable","Slow")))</f>
        <v/>
      </c>
      <c r="I9" s="3">
        <f>IF(F9&lt;=500,"Excellent",IF(F9&lt;=800,"Good",IF(F9&lt;=1000,"Acceptable","Slow")))</f>
        <v/>
      </c>
    </row>
    <row r="10">
      <c r="A10" s="2" t="inlineStr">
        <is>
          <t>Admin</t>
        </is>
      </c>
      <c r="B10" s="2" t="inlineStr">
        <is>
          <t>Messages</t>
        </is>
      </c>
      <c r="C10" s="2" t="inlineStr">
        <is>
          <t>/admin/messages</t>
        </is>
      </c>
      <c r="D10" s="2" t="n">
        <v>28</v>
      </c>
      <c r="E10" s="2" t="n">
        <v>915</v>
      </c>
      <c r="F10" s="2" t="n">
        <v>932</v>
      </c>
      <c r="G10" s="2" t="n">
        <v>18</v>
      </c>
      <c r="H10" s="2">
        <f>IF(D10&lt;=100,"Excellent",IF(D10&lt;=300,"Good",IF(D10&lt;=800,"Acceptable","Slow")))</f>
        <v/>
      </c>
      <c r="I10" s="2">
        <f>IF(F10&lt;=500,"Excellent",IF(F10&lt;=800,"Good",IF(F10&lt;=1000,"Acceptable","Slow")))</f>
        <v/>
      </c>
    </row>
    <row r="11">
      <c r="A11" s="3" t="inlineStr">
        <is>
          <t>Admin</t>
        </is>
      </c>
      <c r="B11" s="3" t="inlineStr">
        <is>
          <t>Financials</t>
        </is>
      </c>
      <c r="C11" s="3" t="inlineStr">
        <is>
          <t>/admin/financials</t>
        </is>
      </c>
      <c r="D11" s="3" t="n">
        <v>31</v>
      </c>
      <c r="E11" s="3" t="n">
        <v>730</v>
      </c>
      <c r="F11" s="3" t="n">
        <v>746</v>
      </c>
      <c r="G11" s="3" t="n">
        <v>18</v>
      </c>
      <c r="H11" s="3">
        <f>IF(D11&lt;=100,"Excellent",IF(D11&lt;=300,"Good",IF(D11&lt;=800,"Acceptable","Slow")))</f>
        <v/>
      </c>
      <c r="I11" s="3">
        <f>IF(F11&lt;=500,"Excellent",IF(F11&lt;=800,"Good",IF(F11&lt;=1000,"Acceptable","Slow")))</f>
        <v/>
      </c>
    </row>
    <row r="12">
      <c r="A12" s="2" t="inlineStr">
        <is>
          <t>Admin</t>
        </is>
      </c>
      <c r="B12" s="2" t="inlineStr">
        <is>
          <t>Promo Banners</t>
        </is>
      </c>
      <c r="C12" s="2" t="inlineStr">
        <is>
          <t>/admin/banners</t>
        </is>
      </c>
      <c r="D12" s="2" t="n">
        <v>39</v>
      </c>
      <c r="E12" s="2" t="n">
        <v>765</v>
      </c>
      <c r="F12" s="2" t="n">
        <v>780</v>
      </c>
      <c r="G12" s="2" t="n">
        <v>18</v>
      </c>
      <c r="H12" s="2">
        <f>IF(D12&lt;=100,"Excellent",IF(D12&lt;=300,"Good",IF(D12&lt;=800,"Acceptable","Slow")))</f>
        <v/>
      </c>
      <c r="I12" s="2">
        <f>IF(F12&lt;=500,"Excellent",IF(F12&lt;=800,"Good",IF(F12&lt;=1000,"Acceptable","Slow")))</f>
        <v/>
      </c>
    </row>
    <row r="13">
      <c r="A13" s="3" t="inlineStr">
        <is>
          <t>Admin</t>
        </is>
      </c>
      <c r="B13" s="3" t="inlineStr">
        <is>
          <t>Featured Rails</t>
        </is>
      </c>
      <c r="C13" s="3" t="inlineStr">
        <is>
          <t>/admin/featured</t>
        </is>
      </c>
      <c r="D13" s="3" t="n">
        <v>33</v>
      </c>
      <c r="E13" s="3" t="n">
        <v>818</v>
      </c>
      <c r="F13" s="3" t="n">
        <v>834</v>
      </c>
      <c r="G13" s="3" t="n">
        <v>18</v>
      </c>
      <c r="H13" s="3">
        <f>IF(D13&lt;=100,"Excellent",IF(D13&lt;=300,"Good",IF(D13&lt;=800,"Acceptable","Slow")))</f>
        <v/>
      </c>
      <c r="I13" s="3">
        <f>IF(F13&lt;=500,"Excellent",IF(F13&lt;=800,"Good",IF(F13&lt;=1000,"Acceptable","Slow")))</f>
        <v/>
      </c>
    </row>
    <row r="14">
      <c r="A14" s="2" t="inlineStr">
        <is>
          <t>Admin</t>
        </is>
      </c>
      <c r="B14" s="2" t="inlineStr">
        <is>
          <t>Settings</t>
        </is>
      </c>
      <c r="C14" s="2" t="inlineStr">
        <is>
          <t>/admin/settings</t>
        </is>
      </c>
      <c r="D14" s="2" t="n">
        <v>42</v>
      </c>
      <c r="E14" s="2" t="n">
        <v>760</v>
      </c>
      <c r="F14" s="2" t="n">
        <v>778</v>
      </c>
      <c r="G14" s="2" t="n">
        <v>17</v>
      </c>
      <c r="H14" s="2">
        <f>IF(D14&lt;=100,"Excellent",IF(D14&lt;=300,"Good",IF(D14&lt;=800,"Acceptable","Slow")))</f>
        <v/>
      </c>
      <c r="I14" s="2">
        <f>IF(F14&lt;=500,"Excellent",IF(F14&lt;=800,"Good",IF(F14&lt;=1000,"Acceptable","Slow")))</f>
        <v/>
      </c>
    </row>
    <row r="15">
      <c r="A15" s="3" t="inlineStr">
        <is>
          <t>Admin</t>
        </is>
      </c>
      <c r="B15" s="3" t="inlineStr">
        <is>
          <t>Activity Log</t>
        </is>
      </c>
      <c r="C15" s="3" t="inlineStr">
        <is>
          <t>/admin/activity</t>
        </is>
      </c>
      <c r="D15" s="3" t="n">
        <v>26</v>
      </c>
      <c r="E15" s="3" t="n">
        <v>861</v>
      </c>
      <c r="F15" s="3" t="n">
        <v>878</v>
      </c>
      <c r="G15" s="3" t="n">
        <v>18</v>
      </c>
      <c r="H15" s="3">
        <f>IF(D15&lt;=100,"Excellent",IF(D15&lt;=300,"Good",IF(D15&lt;=800,"Acceptable","Slow")))</f>
        <v/>
      </c>
      <c r="I15" s="3">
        <f>IF(F15&lt;=500,"Excellent",IF(F15&lt;=800,"Good",IF(F15&lt;=1000,"Acceptable","Slow")))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4" t="inlineStr">
        <is>
          <t>Performance Summary</t>
        </is>
      </c>
      <c r="B1" s="4" t="inlineStr"/>
    </row>
    <row r="2">
      <c r="A2" s="4" t="inlineStr"/>
      <c r="B2" s="4" t="inlineStr"/>
    </row>
    <row r="3">
      <c r="A3" s="4" t="inlineStr">
        <is>
          <t>Average TTFB (ms)</t>
        </is>
      </c>
      <c r="B3" s="4">
        <f>AVERAGE('Page Benchmarks'!D2:D15)</f>
        <v/>
      </c>
    </row>
    <row r="4">
      <c r="A4" s="4" t="inlineStr">
        <is>
          <t>Max TTFB (ms)</t>
        </is>
      </c>
      <c r="B4" s="4">
        <f>MAX('Page Benchmarks'!D2:D15)</f>
        <v/>
      </c>
    </row>
    <row r="5">
      <c r="A5" s="4" t="inlineStr">
        <is>
          <t>Min TTFB (ms)</t>
        </is>
      </c>
      <c r="B5" s="4">
        <f>MIN('Page Benchmarks'!D2:D15)</f>
        <v/>
      </c>
    </row>
    <row r="6">
      <c r="A6" s="4" t="inlineStr"/>
      <c r="B6" s="4" t="inlineStr"/>
    </row>
    <row r="7">
      <c r="A7" s="4" t="inlineStr">
        <is>
          <t>Average Full Load (ms)</t>
        </is>
      </c>
      <c r="B7" s="4">
        <f>AVERAGE('Page Benchmarks'!F2:F15)</f>
        <v/>
      </c>
    </row>
    <row r="8">
      <c r="A8" s="4" t="inlineStr">
        <is>
          <t>Max Full Load (ms)</t>
        </is>
      </c>
      <c r="B8" s="4">
        <f>MAX('Page Benchmarks'!F2:F15)</f>
        <v/>
      </c>
    </row>
    <row r="9">
      <c r="A9" s="4" t="inlineStr">
        <is>
          <t>Min Full Load (ms)</t>
        </is>
      </c>
      <c r="B9" s="4">
        <f>MIN('Page Benchmarks'!F2:F15)</f>
        <v/>
      </c>
    </row>
    <row r="10">
      <c r="A10" s="4" t="inlineStr"/>
      <c r="B10" s="4" t="inlineStr"/>
    </row>
    <row r="11">
      <c r="A11" s="4" t="inlineStr">
        <is>
          <t>Pages Meeting Target (&lt;800ms TTFB)</t>
        </is>
      </c>
      <c r="B11" s="4">
        <f>COUNTIF('Page Benchmarks'!D2:D15,"&lt;800")</f>
        <v/>
      </c>
    </row>
    <row r="12">
      <c r="A12" s="4" t="inlineStr">
        <is>
          <t>Overall Performance Score</t>
        </is>
      </c>
      <c r="B12" s="4" t="inlineStr">
        <is>
          <t>9.0/10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2026-04-04T07:33:54Z</dcterms:created>
  <dcterms:modified xmlns:dcterms="http://purl.org/dc/terms/" xmlns:xsi="http://www.w3.org/2001/XMLSchema-instance" xsi:type="dcterms:W3CDTF">2026-04-04T07:33:57Z</dcterms:modified>
</cp:coreProperties>
</file>