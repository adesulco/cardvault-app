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v14 vs v15 Comparison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Performance Benchmark" sheetId="4" state="visible" r:id="rId4"/>
    <sheet xmlns:r="http://schemas.openxmlformats.org/officeDocument/2006/relationships" name="Security Headers" sheetId="5" state="visible" r:id="rId5"/>
    <sheet xmlns:r="http://schemas.openxmlformats.org/officeDocument/2006/relationships"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b val="1"/>
      <color rgb="0000B050"/>
      <sz val="14"/>
    </font>
    <font>
      <b val="1"/>
    </font>
    <font>
      <b val="1"/>
      <color rgb="00FFFFFF"/>
      <sz val="12"/>
    </font>
    <font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D9E1F2"/>
        <bgColor rgb="00D9E1F2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EBEE"/>
        <bgColor rgb="00FFEBEE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0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wrapText="1"/>
    </xf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10" borderId="0" pivotButton="0" quotePrefix="0" xfId="0"/>
    <xf numFmtId="0" fontId="5" fillId="0" borderId="0" pivotButton="0" quotePrefix="0" xfId="0"/>
    <xf numFmtId="0" fontId="0" fillId="8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0" fillId="7" borderId="0" pivotButton="0" quotePrefix="0" xfId="0"/>
    <xf numFmtId="0" fontId="6" fillId="2" borderId="0" pivotButton="0" quotePrefix="0" xfId="0"/>
    <xf numFmtId="0" fontId="6" fillId="11" borderId="0" pivotButton="0" quotePrefix="0" xfId="0"/>
    <xf numFmtId="0" fontId="7" fillId="0" borderId="0" pivotButton="0" quotePrefix="0" xfId="0"/>
    <xf numFmtId="0" fontId="0" fillId="12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50" customWidth="1" min="4" max="4"/>
    <col width="50" customWidth="1" min="5" max="5"/>
    <col width="11" customWidth="1" min="6" max="6"/>
    <col width="41" customWidth="1" min="7" max="7"/>
    <col width="17" customWidth="1" min="8" max="8"/>
  </cols>
  <sheetData>
    <row r="1" ht="25" customHeight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Detail</t>
        </is>
      </c>
      <c r="F1" s="1" t="inlineStr">
        <is>
          <t>Status</t>
        </is>
      </c>
      <c r="G1" s="1" t="inlineStr">
        <is>
          <t>Recommendation</t>
        </is>
      </c>
      <c r="H1" s="1" t="inlineStr">
        <is>
          <t>Target Fix Date</t>
        </is>
      </c>
    </row>
    <row r="2">
      <c r="A2" s="2" t="inlineStr">
        <is>
          <t>V13-002</t>
        </is>
      </c>
      <c r="B2" s="2" t="inlineStr">
        <is>
          <t>CRITICAL</t>
        </is>
      </c>
      <c r="C2" s="2" t="inlineStr">
        <is>
          <t>Security</t>
        </is>
      </c>
      <c r="D2" s="2" t="inlineStr">
        <is>
          <t>Admin role in localStorage</t>
        </is>
      </c>
      <c r="E2" s="3" t="inlineStr">
        <is>
          <t>cardvault-auth-storage has isAdmin:true, userRole:ADMIN. cv_session in localStorage. Must use httpOnly cookies.</t>
        </is>
      </c>
      <c r="F2" s="2" t="inlineStr">
        <is>
          <t>NOT FIXED</t>
        </is>
      </c>
      <c r="G2" s="3" t="inlineStr">
        <is>
          <t>Migrate to httpOnly cookies</t>
        </is>
      </c>
      <c r="H2" s="2" t="inlineStr">
        <is>
          <t>2026-04-10</t>
        </is>
      </c>
    </row>
    <row r="3">
      <c r="A3" s="4" t="inlineStr">
        <is>
          <t>V13-009</t>
        </is>
      </c>
      <c r="B3" s="5" t="inlineStr">
        <is>
          <t>HIGH</t>
        </is>
      </c>
      <c r="C3" s="4" t="inlineStr">
        <is>
          <t>Data Integrity</t>
        </is>
      </c>
      <c r="D3" s="4" t="inlineStr">
        <is>
          <t>Grade badge contradicts slab</t>
        </is>
      </c>
      <c r="E3" s="6" t="inlineStr">
        <is>
          <t>Black Lotus: badge UGA 9, card details 'Graded (UGA 9)', but slab shows GEM MT 10 cert#84720931.</t>
        </is>
      </c>
      <c r="F3" s="7" t="inlineStr">
        <is>
          <t>NOT FIXED</t>
        </is>
      </c>
      <c r="G3" s="6" t="inlineStr">
        <is>
          <t>Fix data sync</t>
        </is>
      </c>
      <c r="H3" s="4" t="inlineStr">
        <is>
          <t>2026-04-17</t>
        </is>
      </c>
    </row>
    <row r="4">
      <c r="A4" s="2" t="inlineStr">
        <is>
          <t>V13-010</t>
        </is>
      </c>
      <c r="B4" s="2" t="inlineStr">
        <is>
          <t>HIGH</t>
        </is>
      </c>
      <c r="C4" s="2" t="inlineStr">
        <is>
          <t>Functionality</t>
        </is>
      </c>
      <c r="D4" s="2" t="inlineStr">
        <is>
          <t>Completed transaction listing still active</t>
        </is>
      </c>
      <c r="E4" s="3" t="inlineStr">
        <is>
          <t>Ohtani Rp 25M transaction completed but listing shows 'active' in admin and consumer.</t>
        </is>
      </c>
      <c r="F4" s="2" t="inlineStr">
        <is>
          <t>NOT FIXED</t>
        </is>
      </c>
      <c r="G4" s="3" t="inlineStr">
        <is>
          <t>Implement transaction state enforcement</t>
        </is>
      </c>
      <c r="H4" s="2" t="inlineStr">
        <is>
          <t>2026-04-17</t>
        </is>
      </c>
    </row>
    <row r="5">
      <c r="A5" s="4" t="inlineStr">
        <is>
          <t>V13-011</t>
        </is>
      </c>
      <c r="B5" s="5" t="inlineStr">
        <is>
          <t>HIGH</t>
        </is>
      </c>
      <c r="C5" s="4" t="inlineStr">
        <is>
          <t>Functionality</t>
        </is>
      </c>
      <c r="D5" s="4" t="inlineStr">
        <is>
          <t>Date mismatch across admin pages</t>
        </is>
      </c>
      <c r="E5" s="6" t="inlineStr">
        <is>
          <t>Transaction 0906f312: Transactions page shows 03 Apr 2026, Financials shows 01 Apr 2026.</t>
        </is>
      </c>
      <c r="F5" s="7" t="inlineStr">
        <is>
          <t>NOT FIXED</t>
        </is>
      </c>
      <c r="G5" s="6" t="inlineStr">
        <is>
          <t>Audit timestamp consistency</t>
        </is>
      </c>
      <c r="H5" s="4" t="inlineStr">
        <is>
          <t>2026-04-17</t>
        </is>
      </c>
    </row>
    <row r="6">
      <c r="A6" s="2" t="inlineStr">
        <is>
          <t>V13-012</t>
        </is>
      </c>
      <c r="B6" s="2" t="inlineStr">
        <is>
          <t>HIGH</t>
        </is>
      </c>
      <c r="C6" s="2" t="inlineStr">
        <is>
          <t>Security</t>
        </is>
      </c>
      <c r="D6" s="2" t="inlineStr">
        <is>
          <t>No KYC enforcement for high-value transactions</t>
        </is>
      </c>
      <c r="E6" s="3" t="inlineStr">
        <is>
          <t>John Collector KYC REJECTED in Activity Log but has completed Rp 25M transaction. UNVERIFIED in Users list.</t>
        </is>
      </c>
      <c r="F6" s="2" t="inlineStr">
        <is>
          <t>NOT FIXED</t>
        </is>
      </c>
      <c r="G6" s="3" t="inlineStr">
        <is>
          <t>Enforce KYC verification</t>
        </is>
      </c>
      <c r="H6" s="2" t="inlineStr">
        <is>
          <t>2026-04-17</t>
        </is>
      </c>
    </row>
    <row r="7">
      <c r="A7" s="4" t="inlineStr">
        <is>
          <t>V14-002</t>
        </is>
      </c>
      <c r="B7" s="5" t="inlineStr">
        <is>
          <t>HIGH</t>
        </is>
      </c>
      <c r="C7" s="4" t="inlineStr">
        <is>
          <t>Data Integrity</t>
        </is>
      </c>
      <c r="D7" s="4" t="inlineStr">
        <is>
          <t>Ohtani listing still shows Aaron Judge image</t>
        </is>
      </c>
      <c r="E7" s="6" t="inlineStr">
        <is>
          <t>Listing 'Shohei Ohtani Chrome RC Auto' with subtitle 'Shohei Ohtani' still displays wrong card/slab image. Carried over from v14.</t>
        </is>
      </c>
      <c r="F7" s="8" t="inlineStr">
        <is>
          <t>OPEN</t>
        </is>
      </c>
      <c r="G7" s="6" t="inlineStr">
        <is>
          <t>Correct image asset mapping</t>
        </is>
      </c>
      <c r="H7" s="4" t="inlineStr">
        <is>
          <t>2026-04-17</t>
        </is>
      </c>
    </row>
    <row r="8">
      <c r="A8" s="2" t="inlineStr">
        <is>
          <t>V15-001</t>
        </is>
      </c>
      <c r="B8" s="2" t="inlineStr">
        <is>
          <t>HIGH</t>
        </is>
      </c>
      <c r="C8" s="2" t="inlineStr">
        <is>
          <t>Data Integrity</t>
        </is>
      </c>
      <c r="D8" s="2" t="inlineStr">
        <is>
          <t>Cert# mismatch between card details and slab image</t>
        </is>
      </c>
      <c r="E8" s="3" t="inlineStr">
        <is>
          <t>Black Lotus card details show Cert# 1099308, but slab image shows cert #84720931. Data integrity issue between listing metadata and grading slab.</t>
        </is>
      </c>
      <c r="F8" s="2" t="inlineStr">
        <is>
          <t>OPEN</t>
        </is>
      </c>
      <c r="G8" s="3" t="inlineStr">
        <is>
          <t>Verify cert# in metadata and slab</t>
        </is>
      </c>
      <c r="H8" s="2" t="inlineStr">
        <is>
          <t>2026-04-17</t>
        </is>
      </c>
    </row>
    <row r="9">
      <c r="A9" s="4" t="inlineStr">
        <is>
          <t>V13-019</t>
        </is>
      </c>
      <c r="B9" s="9" t="inlineStr">
        <is>
          <t>MEDIUM</t>
        </is>
      </c>
      <c r="C9" s="4" t="inlineStr">
        <is>
          <t>Functionality</t>
        </is>
      </c>
      <c r="D9" s="4" t="inlineStr">
        <is>
          <t>Chart Y-axis VOLUME (IDR)</t>
        </is>
      </c>
      <c r="E9" s="6" t="inlineStr">
        <is>
          <t>Should use Rp prefix format, not currency code.</t>
        </is>
      </c>
      <c r="F9" s="7" t="inlineStr">
        <is>
          <t>NOT FIXED</t>
        </is>
      </c>
      <c r="G9" s="6" t="inlineStr">
        <is>
          <t>Update axis format</t>
        </is>
      </c>
      <c r="H9" s="4" t="inlineStr">
        <is>
          <t>2026-04-24</t>
        </is>
      </c>
    </row>
    <row r="10">
      <c r="A10" s="2" t="inlineStr">
        <is>
          <t>V14-005</t>
        </is>
      </c>
      <c r="B10" s="2" t="inlineStr">
        <is>
          <t>MEDIUM</t>
        </is>
      </c>
      <c r="C10" s="2" t="inlineStr">
        <is>
          <t>Functionality</t>
        </is>
      </c>
      <c r="D10" s="2" t="inlineStr">
        <is>
          <t>CORS on admin returns beta origin only</t>
        </is>
      </c>
      <c r="E10" s="3" t="inlineStr">
        <is>
          <t>admin.cardvault.id Access-Control-Allow-Origin: https://beta.cardvault.id — should include admin domain.</t>
        </is>
      </c>
      <c r="F10" s="2" t="inlineStr">
        <is>
          <t>NOT FIXED</t>
        </is>
      </c>
      <c r="G10" s="3" t="inlineStr">
        <is>
          <t>Update CORS allowlist</t>
        </is>
      </c>
      <c r="H10" s="2" t="inlineStr">
        <is>
          <t>2026-04-24</t>
        </is>
      </c>
    </row>
    <row r="11">
      <c r="A11" s="4" t="inlineStr">
        <is>
          <t>V15-002</t>
        </is>
      </c>
      <c r="B11" s="9" t="inlineStr">
        <is>
          <t>MEDIUM</t>
        </is>
      </c>
      <c r="C11" s="4" t="inlineStr">
        <is>
          <t>Deployment</t>
        </is>
      </c>
      <c r="D11" s="4" t="inlineStr">
        <is>
          <t>Admin build version not updated to match consumer</t>
        </is>
      </c>
      <c r="E11" s="6" t="inlineStr">
        <is>
          <t>Consumer: V0.82.0 (semver). Admin: CVOS v0.81.2 (unchanged from v14). Build versions should be synchronized.</t>
        </is>
      </c>
      <c r="F11" s="8" t="inlineStr">
        <is>
          <t>OPEN</t>
        </is>
      </c>
      <c r="G11" s="6" t="inlineStr">
        <is>
          <t>Update admin to V0.82.0</t>
        </is>
      </c>
      <c r="H11" s="4" t="inlineStr">
        <is>
          <t>2026-04-24</t>
        </is>
      </c>
    </row>
    <row r="12">
      <c r="A12" s="2" t="inlineStr">
        <is>
          <t>V15-003</t>
        </is>
      </c>
      <c r="B12" s="2" t="inlineStr">
        <is>
          <t>MEDIUM</t>
        </is>
      </c>
      <c r="C12" s="2" t="inlineStr">
        <is>
          <t>Functionality</t>
        </is>
      </c>
      <c r="D12" s="2" t="inlineStr">
        <is>
          <t>Activity Log timestamps all show 'Just now'</t>
        </is>
      </c>
      <c r="E12" s="3" t="inlineStr">
        <is>
          <t>All KYC activity entries display 'Just now' regardless of when they actually occurred. Should show actual timestamps for audit trail.</t>
        </is>
      </c>
      <c r="F12" s="2" t="inlineStr">
        <is>
          <t>OPEN</t>
        </is>
      </c>
      <c r="G12" s="3" t="inlineStr">
        <is>
          <t>Use server-side timestamp formatting</t>
        </is>
      </c>
      <c r="H12" s="2" t="inlineStr">
        <is>
          <t>2026-04-24</t>
        </is>
      </c>
    </row>
    <row r="13">
      <c r="A13" s="4" t="inlineStr">
        <is>
          <t>V15-004</t>
        </is>
      </c>
      <c r="B13" s="9" t="inlineStr">
        <is>
          <t>MEDIUM</t>
        </is>
      </c>
      <c r="C13" s="4" t="inlineStr">
        <is>
          <t>Functionality</t>
        </is>
      </c>
      <c r="D13" s="4" t="inlineStr">
        <is>
          <t>Promo Banners stuck on 'Loading banners...'</t>
        </is>
      </c>
      <c r="E13" s="6" t="inlineStr">
        <is>
          <t>Promo Banners admin page shows infinite loading state. No empty state or error handling if no banners exist.</t>
        </is>
      </c>
      <c r="F13" s="8" t="inlineStr">
        <is>
          <t>OPEN</t>
        </is>
      </c>
      <c r="G13" s="6" t="inlineStr">
        <is>
          <t>Add error boundary for banner loading</t>
        </is>
      </c>
      <c r="H13" s="4" t="inlineStr">
        <is>
          <t>2026-04-24</t>
        </is>
      </c>
    </row>
    <row r="14">
      <c r="A14" s="2" t="inlineStr">
        <is>
          <t>V15-007</t>
        </is>
      </c>
      <c r="B14" s="2" t="inlineStr">
        <is>
          <t>MEDIUM</t>
        </is>
      </c>
      <c r="C14" s="2" t="inlineStr">
        <is>
          <t>Performance</t>
        </is>
      </c>
      <c r="D14" s="2" t="inlineStr">
        <is>
          <t>SPA navigation /api/listings/{id} still slow at 1,803ms</t>
        </is>
      </c>
      <c r="E14" s="3" t="inlineStr">
        <is>
          <t>Deep link is fast (354ms) due to SW cache, but SPA navigation shows 1,803ms. Inconsistent performance between navigation modes.</t>
        </is>
      </c>
      <c r="F14" s="2" t="inlineStr">
        <is>
          <t>OPEN</t>
        </is>
      </c>
      <c r="G14" s="3" t="inlineStr">
        <is>
          <t>Optimize SPA routing cache</t>
        </is>
      </c>
      <c r="H14" s="2" t="inlineStr">
        <is>
          <t>2026-04-24</t>
        </is>
      </c>
    </row>
    <row r="15">
      <c r="A15" s="4" t="inlineStr">
        <is>
          <t>V13-020</t>
        </is>
      </c>
      <c r="B15" s="10" t="inlineStr">
        <is>
          <t>LOW</t>
        </is>
      </c>
      <c r="C15" s="4" t="inlineStr">
        <is>
          <t>Functionality</t>
        </is>
      </c>
      <c r="D15" s="4" t="inlineStr">
        <is>
          <t>Home page lacks marketplace content</t>
        </is>
      </c>
      <c r="E15" s="6" t="inlineStr">
        <is>
          <t>Featured Rails admin tool now exists but rail is empty. Consumer home still has no featured cards or recently listed.</t>
        </is>
      </c>
      <c r="F15" s="9" t="inlineStr">
        <is>
          <t>PARTIAL</t>
        </is>
      </c>
      <c r="G15" s="6" t="inlineStr">
        <is>
          <t>Enable featured content API</t>
        </is>
      </c>
      <c r="H15" s="4" t="inlineStr">
        <is>
          <t>2026-04-24</t>
        </is>
      </c>
    </row>
    <row r="16">
      <c r="A16" s="2" t="inlineStr">
        <is>
          <t>V15-005</t>
        </is>
      </c>
      <c r="B16" s="2" t="inlineStr">
        <is>
          <t>LOW</t>
        </is>
      </c>
      <c r="C16" s="2" t="inlineStr">
        <is>
          <t>Security</t>
        </is>
      </c>
      <c r="D16" s="2" t="inlineStr">
        <is>
          <t>/api/notifications polling every ~30s</t>
        </is>
      </c>
      <c r="E16" s="3" t="inlineStr">
        <is>
          <t>Notifications API polled repeatedly (~30s intervals). Should use WebSocket (already has wss: in CSP connect-src) or increase interval.</t>
        </is>
      </c>
      <c r="F16" s="2" t="inlineStr">
        <is>
          <t>OPEN</t>
        </is>
      </c>
      <c r="G16" s="3" t="inlineStr">
        <is>
          <t>Migrate to WebSocket</t>
        </is>
      </c>
      <c r="H16" s="2" t="inlineStr">
        <is>
          <t>2026-04-24</t>
        </is>
      </c>
    </row>
    <row r="17">
      <c r="A17" s="4" t="inlineStr">
        <is>
          <t>V15-006</t>
        </is>
      </c>
      <c r="B17" s="10" t="inlineStr">
        <is>
          <t>LOW</t>
        </is>
      </c>
      <c r="C17" s="4" t="inlineStr">
        <is>
          <t>Deployment</t>
        </is>
      </c>
      <c r="D17" s="4" t="inlineStr">
        <is>
          <t>style-src unsafe-inline still present as fallback</t>
        </is>
      </c>
      <c r="E17" s="6" t="inlineStr">
        <is>
          <t>While nonce was added to style-src, unsafe-inline is kept as fallback for older browsers. Should be removed for strict CSP once browser support confirmed.</t>
        </is>
      </c>
      <c r="F17" s="8" t="inlineStr">
        <is>
          <t>OPEN</t>
        </is>
      </c>
      <c r="G17" s="6" t="inlineStr">
        <is>
          <t>Remove unsafe-inline fallback</t>
        </is>
      </c>
      <c r="H17" s="4" t="inlineStr">
        <is>
          <t>2026-04-24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3" customWidth="1" min="3" max="3"/>
    <col width="50" customWidth="1" min="4" max="4"/>
    <col width="11" customWidth="1" min="5" max="5"/>
    <col width="10" customWidth="1" min="6" max="6"/>
  </cols>
  <sheetData>
    <row r="1" ht="25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v14 Value</t>
        </is>
      </c>
      <c r="D1" s="1" t="inlineStr">
        <is>
          <t>v15 Value</t>
        </is>
      </c>
      <c r="E1" s="1" t="inlineStr">
        <is>
          <t>Status</t>
        </is>
      </c>
      <c r="F1" s="1" t="inlineStr">
        <is>
          <t>Severity</t>
        </is>
      </c>
    </row>
    <row r="2">
      <c r="A2" s="2" t="inlineStr">
        <is>
          <t>V14-004</t>
        </is>
      </c>
      <c r="B2" s="3" t="inlineStr">
        <is>
          <t>x-powered-by: Next.js header removed</t>
        </is>
      </c>
      <c r="C2" s="3" t="inlineStr">
        <is>
          <t>Next.js exposed</t>
        </is>
      </c>
      <c r="D2" s="3" t="inlineStr">
        <is>
          <t>Header removed from both domains</t>
        </is>
      </c>
      <c r="E2" s="10" t="inlineStr">
        <is>
          <t>FIXED</t>
        </is>
      </c>
      <c r="F2" s="10" t="inlineStr">
        <is>
          <t>LOW</t>
        </is>
      </c>
    </row>
    <row r="3">
      <c r="A3" s="4" t="inlineStr">
        <is>
          <t>V14-006</t>
        </is>
      </c>
      <c r="B3" s="6" t="inlineStr">
        <is>
          <t>style-src nonce added to CSP</t>
        </is>
      </c>
      <c r="C3" s="6" t="inlineStr">
        <is>
          <t>unsafe-inline only</t>
        </is>
      </c>
      <c r="D3" s="6" t="inlineStr">
        <is>
          <t>nonce + unsafe-inline fallback</t>
        </is>
      </c>
      <c r="E3" s="10" t="inlineStr">
        <is>
          <t>FIXED</t>
        </is>
      </c>
      <c r="F3" s="9" t="inlineStr">
        <is>
          <t>MEDIUM</t>
        </is>
      </c>
    </row>
    <row r="4">
      <c r="A4" s="2" t="inlineStr">
        <is>
          <t>V14-003</t>
        </is>
      </c>
      <c r="B4" s="3" t="inlineStr">
        <is>
          <t>Build version semver adopted</t>
        </is>
      </c>
      <c r="C4" s="3" t="inlineStr">
        <is>
          <t>V0.81 consumer / CVOS v0.81.2 admin</t>
        </is>
      </c>
      <c r="D4" s="3" t="inlineStr">
        <is>
          <t>V0.82.0 consumer (semver)</t>
        </is>
      </c>
      <c r="E4" s="10" t="inlineStr">
        <is>
          <t>FIXED</t>
        </is>
      </c>
      <c r="F4" s="9" t="inlineStr">
        <is>
          <t>MEDIUM</t>
        </is>
      </c>
    </row>
    <row r="5">
      <c r="A5" s="4" t="inlineStr">
        <is>
          <t>V13-013</t>
        </is>
      </c>
      <c r="B5" s="6" t="inlineStr">
        <is>
          <t>Card title truncation tooltip</t>
        </is>
      </c>
      <c r="C5" s="6" t="inlineStr">
        <is>
          <t>No title attribute</t>
        </is>
      </c>
      <c r="D5" s="6" t="inlineStr">
        <is>
          <t>Title tooltip present on truncated text</t>
        </is>
      </c>
      <c r="E5" s="10" t="inlineStr">
        <is>
          <t>FIXED</t>
        </is>
      </c>
      <c r="F5" s="5" t="inlineStr">
        <is>
          <t>HIGH</t>
        </is>
      </c>
    </row>
    <row r="6">
      <c r="A6" s="2" t="inlineStr">
        <is>
          <t>V13-014</t>
        </is>
      </c>
      <c r="B6" s="3" t="inlineStr">
        <is>
          <t>Year and Cert# populated for graded cards</t>
        </is>
      </c>
      <c r="C6" s="3" t="inlineStr">
        <is>
          <t>Year blank, Cert# N/A</t>
        </is>
      </c>
      <c r="D6" s="3" t="inlineStr">
        <is>
          <t>Year 1993, Cert# 1099308 (populated but mismatched with slab)</t>
        </is>
      </c>
      <c r="E6" s="10" t="inlineStr">
        <is>
          <t>FIXED</t>
        </is>
      </c>
      <c r="F6" s="9" t="inlineStr">
        <is>
          <t>MEDIUM</t>
        </is>
      </c>
    </row>
    <row r="7">
      <c r="A7" s="4" t="inlineStr">
        <is>
          <t>V13-015</t>
        </is>
      </c>
      <c r="B7" s="6" t="inlineStr">
        <is>
          <t>Collection Value now calculated</t>
        </is>
      </c>
      <c r="C7" s="6" t="inlineStr">
        <is>
          <t>Rp 0</t>
        </is>
      </c>
      <c r="D7" s="6" t="inlineStr">
        <is>
          <t>Rp 65.000.000</t>
        </is>
      </c>
      <c r="E7" s="10" t="inlineStr">
        <is>
          <t>FIXED</t>
        </is>
      </c>
      <c r="F7" s="9" t="inlineStr">
        <is>
          <t>MEDIUM</t>
        </is>
      </c>
    </row>
    <row r="8">
      <c r="A8" s="2" t="inlineStr">
        <is>
          <t>V13-016</t>
        </is>
      </c>
      <c r="B8" s="3" t="inlineStr">
        <is>
          <t>Grammar singular/plural fixed</t>
        </is>
      </c>
      <c r="C8" s="3" t="inlineStr">
        <is>
          <t>1 trades / 1 Trades</t>
        </is>
      </c>
      <c r="D8" s="3" t="inlineStr">
        <is>
          <t>1 trade (correct singular)</t>
        </is>
      </c>
      <c r="E8" s="10" t="inlineStr">
        <is>
          <t>FIXED</t>
        </is>
      </c>
      <c r="F8" s="9" t="inlineStr">
        <is>
          <t>MEDIUM</t>
        </is>
      </c>
    </row>
    <row r="9">
      <c r="A9" s="4" t="inlineStr">
        <is>
          <t>V13-017</t>
        </is>
      </c>
      <c r="B9" s="6" t="inlineStr">
        <is>
          <t>Dashboard PLATFORM FEES label</t>
        </is>
      </c>
      <c r="C9" s="6" t="inlineStr">
        <is>
          <t>PLATFORM FEES (REVENUE)</t>
        </is>
      </c>
      <c r="D9" s="6" t="inlineStr">
        <is>
          <t>PLATFORM FEES</t>
        </is>
      </c>
      <c r="E9" s="10" t="inlineStr">
        <is>
          <t>FIXED</t>
        </is>
      </c>
      <c r="F9" s="9" t="inlineStr">
        <is>
          <t>MEDIUM</t>
        </is>
      </c>
    </row>
    <row r="10">
      <c r="A10" s="2" t="inlineStr">
        <is>
          <t>V13-018</t>
        </is>
      </c>
      <c r="B10" s="3" t="inlineStr">
        <is>
          <t>Admin price format consistent</t>
        </is>
      </c>
      <c r="C10" s="3" t="inlineStr">
        <is>
          <t>Commas in Transactions, periods elsewhere</t>
        </is>
      </c>
      <c r="D10" s="3" t="inlineStr">
        <is>
          <t>Periods throughout (Rp 25.000.000)</t>
        </is>
      </c>
      <c r="E10" s="10" t="inlineStr">
        <is>
          <t>FIXED</t>
        </is>
      </c>
      <c r="F10" s="9" t="inlineStr">
        <is>
          <t>MEDIUM</t>
        </is>
      </c>
    </row>
    <row r="11">
      <c r="A11" s="4" t="inlineStr">
        <is>
          <t>V13-008</t>
        </is>
      </c>
      <c r="B11" s="6" t="inlineStr">
        <is>
          <t>/api/listings/{id} deep link performance</t>
        </is>
      </c>
      <c r="C11" s="6" t="inlineStr">
        <is>
          <t>2,950ms</t>
        </is>
      </c>
      <c r="D11" s="6" t="inlineStr">
        <is>
          <t>354ms deep link (target &lt;500ms met!)</t>
        </is>
      </c>
      <c r="E11" s="10" t="inlineStr">
        <is>
          <t>FIXED</t>
        </is>
      </c>
      <c r="F11" s="5" t="inlineStr">
        <is>
          <t>HIGH</t>
        </is>
      </c>
    </row>
    <row r="12">
      <c r="A12" s="2" t="inlineStr">
        <is>
          <t>V14-001</t>
        </is>
      </c>
      <c r="B12" s="3" t="inlineStr">
        <is>
          <t>FCP regression mitigated by Service Worker</t>
        </is>
      </c>
      <c r="C12" s="3" t="inlineStr">
        <is>
          <t>17,656ms FCP</t>
        </is>
      </c>
      <c r="D12" s="3" t="inlineStr">
        <is>
          <t>Service Worker active, TTFB 375ms, DOM complete 505ms. FCP unmeasurable due to SW.</t>
        </is>
      </c>
      <c r="E12" s="11" t="inlineStr">
        <is>
          <t>MITIGATED</t>
        </is>
      </c>
      <c r="F12" s="7" t="inlineStr">
        <is>
          <t>CRITICAL</t>
        </is>
      </c>
    </row>
    <row r="13">
      <c r="A13" s="4" t="inlineStr">
        <is>
          <t>V14-007</t>
        </is>
      </c>
      <c r="B13" s="6" t="inlineStr">
        <is>
          <t>Semver adoption</t>
        </is>
      </c>
      <c r="C13" s="6" t="inlineStr">
        <is>
          <t>V0.81 (regression)</t>
        </is>
      </c>
      <c r="D13" s="6" t="inlineStr">
        <is>
          <t>V0.82.0 (proper semver)</t>
        </is>
      </c>
      <c r="E13" s="10" t="inlineStr">
        <is>
          <t>FIXED</t>
        </is>
      </c>
      <c r="F13" s="10" t="inlineStr">
        <is>
          <t>LOW</t>
        </is>
      </c>
    </row>
    <row r="14">
      <c r="A14" s="2" t="inlineStr">
        <is>
          <t>V13-002</t>
        </is>
      </c>
      <c r="B14" s="3" t="inlineStr">
        <is>
          <t>Admin role in localStorage</t>
        </is>
      </c>
      <c r="C14" s="3" t="inlineStr">
        <is>
          <t>(varies)</t>
        </is>
      </c>
      <c r="D14" s="3" t="inlineStr">
        <is>
          <t>(varies)</t>
        </is>
      </c>
      <c r="E14" s="7" t="inlineStr">
        <is>
          <t>NOT FIXED</t>
        </is>
      </c>
      <c r="F14" s="7" t="inlineStr">
        <is>
          <t>CRITICAL</t>
        </is>
      </c>
    </row>
    <row r="15">
      <c r="A15" s="4" t="inlineStr">
        <is>
          <t>V13-009</t>
        </is>
      </c>
      <c r="B15" s="6" t="inlineStr">
        <is>
          <t>Grade badge contradicts slab</t>
        </is>
      </c>
      <c r="C15" s="6" t="inlineStr">
        <is>
          <t>(varies)</t>
        </is>
      </c>
      <c r="D15" s="6" t="inlineStr">
        <is>
          <t>(varies)</t>
        </is>
      </c>
      <c r="E15" s="7" t="inlineStr">
        <is>
          <t>NOT FIXED</t>
        </is>
      </c>
      <c r="F15" s="5" t="inlineStr">
        <is>
          <t>HIGH</t>
        </is>
      </c>
    </row>
    <row r="16">
      <c r="A16" s="2" t="inlineStr">
        <is>
          <t>V13-010</t>
        </is>
      </c>
      <c r="B16" s="3" t="inlineStr">
        <is>
          <t>Completed transaction listing still active</t>
        </is>
      </c>
      <c r="C16" s="3" t="inlineStr">
        <is>
          <t>(varies)</t>
        </is>
      </c>
      <c r="D16" s="3" t="inlineStr">
        <is>
          <t>(varies)</t>
        </is>
      </c>
      <c r="E16" s="7" t="inlineStr">
        <is>
          <t>NOT FIXED</t>
        </is>
      </c>
      <c r="F16" s="5" t="inlineStr">
        <is>
          <t>HIGH</t>
        </is>
      </c>
    </row>
    <row r="17">
      <c r="A17" s="4" t="inlineStr">
        <is>
          <t>V13-011</t>
        </is>
      </c>
      <c r="B17" s="6" t="inlineStr">
        <is>
          <t>Date mismatch across admin pages</t>
        </is>
      </c>
      <c r="C17" s="6" t="inlineStr">
        <is>
          <t>(varies)</t>
        </is>
      </c>
      <c r="D17" s="6" t="inlineStr">
        <is>
          <t>(varies)</t>
        </is>
      </c>
      <c r="E17" s="7" t="inlineStr">
        <is>
          <t>NOT FIXED</t>
        </is>
      </c>
      <c r="F17" s="5" t="inlineStr">
        <is>
          <t>HIGH</t>
        </is>
      </c>
    </row>
    <row r="18">
      <c r="A18" s="2" t="inlineStr">
        <is>
          <t>V13-012</t>
        </is>
      </c>
      <c r="B18" s="3" t="inlineStr">
        <is>
          <t>No KYC enforcement for high-value transactions</t>
        </is>
      </c>
      <c r="C18" s="3" t="inlineStr">
        <is>
          <t>(varies)</t>
        </is>
      </c>
      <c r="D18" s="3" t="inlineStr">
        <is>
          <t>(varies)</t>
        </is>
      </c>
      <c r="E18" s="7" t="inlineStr">
        <is>
          <t>NOT FIXED</t>
        </is>
      </c>
      <c r="F18" s="5" t="inlineStr">
        <is>
          <t>HIGH</t>
        </is>
      </c>
    </row>
    <row r="19">
      <c r="A19" s="4" t="inlineStr">
        <is>
          <t>V13-019</t>
        </is>
      </c>
      <c r="B19" s="6" t="inlineStr">
        <is>
          <t>Chart Y-axis VOLUME (IDR)</t>
        </is>
      </c>
      <c r="C19" s="6" t="inlineStr">
        <is>
          <t>(varies)</t>
        </is>
      </c>
      <c r="D19" s="6" t="inlineStr">
        <is>
          <t>(varies)</t>
        </is>
      </c>
      <c r="E19" s="7" t="inlineStr">
        <is>
          <t>NOT FIXED</t>
        </is>
      </c>
      <c r="F19" s="9" t="inlineStr">
        <is>
          <t>MEDIUM</t>
        </is>
      </c>
    </row>
    <row r="20">
      <c r="A20" s="2" t="inlineStr">
        <is>
          <t>V13-020</t>
        </is>
      </c>
      <c r="B20" s="3" t="inlineStr">
        <is>
          <t>Home page lacks marketplace content</t>
        </is>
      </c>
      <c r="C20" s="3" t="inlineStr">
        <is>
          <t>(varies)</t>
        </is>
      </c>
      <c r="D20" s="3" t="inlineStr">
        <is>
          <t>(varies)</t>
        </is>
      </c>
      <c r="E20" s="9" t="inlineStr">
        <is>
          <t>PARTIAL</t>
        </is>
      </c>
      <c r="F20" s="10" t="inlineStr">
        <is>
          <t>LOW</t>
        </is>
      </c>
    </row>
    <row r="21">
      <c r="A21" s="4" t="inlineStr">
        <is>
          <t>V14-005</t>
        </is>
      </c>
      <c r="B21" s="6" t="inlineStr">
        <is>
          <t>CORS on admin returns beta origin only</t>
        </is>
      </c>
      <c r="C21" s="6" t="inlineStr">
        <is>
          <t>(varies)</t>
        </is>
      </c>
      <c r="D21" s="6" t="inlineStr">
        <is>
          <t>(varies)</t>
        </is>
      </c>
      <c r="E21" s="7" t="inlineStr">
        <is>
          <t>NOT FIXED</t>
        </is>
      </c>
      <c r="F21" s="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50" customWidth="1" min="4" max="4"/>
    <col width="50" customWidth="1" min="5" max="5"/>
    <col width="10" customWidth="1" min="6" max="6"/>
    <col width="16" customWidth="1" min="7" max="7"/>
  </cols>
  <sheetData>
    <row r="1" ht="25" customHeight="1">
      <c r="A1" s="1" t="inlineStr">
        <is>
          <t>TC-ID</t>
        </is>
      </c>
      <c r="B1" s="1" t="inlineStr">
        <is>
          <t>Category</t>
        </is>
      </c>
      <c r="C1" s="1" t="inlineStr">
        <is>
          <t>Test Case Name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Linked Finding</t>
        </is>
      </c>
    </row>
    <row r="2">
      <c r="A2" s="2" t="inlineStr">
        <is>
          <t>TC-SEC-001</t>
        </is>
      </c>
      <c r="B2" s="2" t="inlineStr">
        <is>
          <t>Security</t>
        </is>
      </c>
      <c r="C2" s="3" t="inlineStr">
        <is>
          <t>Verify localStorage does not contain auth tokens</t>
        </is>
      </c>
      <c r="D2" s="3" t="inlineStr">
        <is>
          <t>Open DevTools &gt; Application &gt; localStorage &gt; Check for auth-related keys</t>
        </is>
      </c>
      <c r="E2" s="3" t="inlineStr">
        <is>
          <t>No auth tokens in localStorage; credentials in httpOnly cookies only</t>
        </is>
      </c>
      <c r="F2" s="2" t="inlineStr">
        <is>
          <t>CRITICAL</t>
        </is>
      </c>
      <c r="G2" s="2" t="inlineStr">
        <is>
          <t>V13-002</t>
        </is>
      </c>
    </row>
    <row r="3">
      <c r="A3" s="4" t="inlineStr">
        <is>
          <t>TC-SEC-002</t>
        </is>
      </c>
      <c r="B3" s="4" t="inlineStr">
        <is>
          <t>Security</t>
        </is>
      </c>
      <c r="C3" s="6" t="inlineStr">
        <is>
          <t>Validate CORS Origin header</t>
        </is>
      </c>
      <c r="D3" s="6" t="inlineStr">
        <is>
          <t>Request from consumer domain; check Access-Control-Allow-Origin header</t>
        </is>
      </c>
      <c r="E3" s="6" t="inlineStr">
        <is>
          <t>Beta domain returns beta origin only; Admin domain returns both origins</t>
        </is>
      </c>
      <c r="F3" s="4" t="inlineStr">
        <is>
          <t>HIGH</t>
        </is>
      </c>
      <c r="G3" s="4" t="inlineStr">
        <is>
          <t>V14-005</t>
        </is>
      </c>
    </row>
    <row r="4">
      <c r="A4" s="2" t="inlineStr">
        <is>
          <t>TC-SEC-003</t>
        </is>
      </c>
      <c r="B4" s="2" t="inlineStr">
        <is>
          <t>Security</t>
        </is>
      </c>
      <c r="C4" s="3" t="inlineStr">
        <is>
          <t>Verify CSP style-src nonce implementation</t>
        </is>
      </c>
      <c r="D4" s="3" t="inlineStr">
        <is>
          <t>Inspect &lt;style&gt; tags in page source; verify nonce attribute present</t>
        </is>
      </c>
      <c r="E4" s="3" t="inlineStr">
        <is>
          <t>All inline styles have unique nonce values; no unsafe-inline fallback</t>
        </is>
      </c>
      <c r="F4" s="2" t="inlineStr">
        <is>
          <t>MEDIUM</t>
        </is>
      </c>
      <c r="G4" s="2" t="inlineStr">
        <is>
          <t>V15-006</t>
        </is>
      </c>
    </row>
    <row r="5">
      <c r="A5" s="4" t="inlineStr">
        <is>
          <t>TC-SEC-004</t>
        </is>
      </c>
      <c r="B5" s="4" t="inlineStr">
        <is>
          <t>Security</t>
        </is>
      </c>
      <c r="C5" s="6" t="inlineStr">
        <is>
          <t>Confirm HSTS header present</t>
        </is>
      </c>
      <c r="D5" s="6" t="inlineStr">
        <is>
          <t>Check response headers for Strict-Transport-Security</t>
        </is>
      </c>
      <c r="E5" s="6" t="inlineStr">
        <is>
          <t>HSTS max-age=31536000 with includeSubDomains and preload</t>
        </is>
      </c>
      <c r="F5" s="4" t="inlineStr">
        <is>
          <t>HIGH</t>
        </is>
      </c>
      <c r="G5" s="4" t="inlineStr"/>
    </row>
    <row r="6">
      <c r="A6" s="2" t="inlineStr">
        <is>
          <t>TC-SEC-005</t>
        </is>
      </c>
      <c r="B6" s="2" t="inlineStr">
        <is>
          <t>Security</t>
        </is>
      </c>
      <c r="C6" s="3" t="inlineStr">
        <is>
          <t>Validate x-frame-options header</t>
        </is>
      </c>
      <c r="D6" s="3" t="inlineStr">
        <is>
          <t>Load page in iframe; check response headers</t>
        </is>
      </c>
      <c r="E6" s="3" t="inlineStr">
        <is>
          <t>x-frame-options: DENY; page does not load in iframe</t>
        </is>
      </c>
      <c r="F6" s="2" t="inlineStr">
        <is>
          <t>MEDIUM</t>
        </is>
      </c>
      <c r="G6" s="2" t="inlineStr"/>
    </row>
    <row r="7">
      <c r="A7" s="4" t="inlineStr">
        <is>
          <t>TC-SEC-006</t>
        </is>
      </c>
      <c r="B7" s="4" t="inlineStr">
        <is>
          <t>Security</t>
        </is>
      </c>
      <c r="C7" s="6" t="inlineStr">
        <is>
          <t>Check for sensitive header leakage</t>
        </is>
      </c>
      <c r="D7" s="6" t="inlineStr">
        <is>
          <t>Inspect all response headers in Network tab</t>
        </is>
      </c>
      <c r="E7" s="6" t="inlineStr">
        <is>
          <t>x-powered-by header removed; no server version exposed</t>
        </is>
      </c>
      <c r="F7" s="4" t="inlineStr">
        <is>
          <t>MEDIUM</t>
        </is>
      </c>
      <c r="G7" s="4" t="inlineStr">
        <is>
          <t>V14-004</t>
        </is>
      </c>
    </row>
    <row r="8">
      <c r="A8" s="2" t="inlineStr">
        <is>
          <t>TC-PERF-001</t>
        </is>
      </c>
      <c r="B8" s="2" t="inlineStr">
        <is>
          <t>Performance</t>
        </is>
      </c>
      <c r="C8" s="3" t="inlineStr">
        <is>
          <t>Measure home page TTFB</t>
        </is>
      </c>
      <c r="D8" s="3" t="inlineStr">
        <is>
          <t>Load home page; measure Time to First Byte from DevTools Network tab</t>
        </is>
      </c>
      <c r="E8" s="3" t="inlineStr">
        <is>
          <t>TTFB &lt; 400ms (target: 375ms achieved in v15)</t>
        </is>
      </c>
      <c r="F8" s="2" t="inlineStr">
        <is>
          <t>HIGH</t>
        </is>
      </c>
      <c r="G8" s="2" t="inlineStr"/>
    </row>
    <row r="9">
      <c r="A9" s="4" t="inlineStr">
        <is>
          <t>TC-PERF-002</t>
        </is>
      </c>
      <c r="B9" s="4" t="inlineStr">
        <is>
          <t>Performance</t>
        </is>
      </c>
      <c r="C9" s="6" t="inlineStr">
        <is>
          <t>Verify Service Worker caching</t>
        </is>
      </c>
      <c r="D9" s="6" t="inlineStr">
        <is>
          <t>Load page with SW active; check DevTools &gt; Application &gt; Service Workers</t>
        </is>
      </c>
      <c r="E9" s="6" t="inlineStr">
        <is>
          <t>Service Worker active; static assets served from cache</t>
        </is>
      </c>
      <c r="F9" s="4" t="inlineStr">
        <is>
          <t>MEDIUM</t>
        </is>
      </c>
      <c r="G9" s="4" t="inlineStr"/>
    </row>
    <row r="10">
      <c r="A10" s="2" t="inlineStr">
        <is>
          <t>TC-PERF-003</t>
        </is>
      </c>
      <c r="B10" s="2" t="inlineStr">
        <is>
          <t>Performance</t>
        </is>
      </c>
      <c r="C10" s="3" t="inlineStr">
        <is>
          <t>Measure card detail API response time</t>
        </is>
      </c>
      <c r="D10" s="3" t="inlineStr">
        <is>
          <t>Navigate to card detail page; measure /api/listings/{id} response time</t>
        </is>
      </c>
      <c r="E10" s="3" t="inlineStr">
        <is>
          <t>API response &lt; 500ms; deep link 354ms, SPA nav 1,803ms (investigate SPA overhead)</t>
        </is>
      </c>
      <c r="F10" s="2" t="inlineStr">
        <is>
          <t>HIGH</t>
        </is>
      </c>
      <c r="G10" s="2" t="inlineStr">
        <is>
          <t>V15-007</t>
        </is>
      </c>
    </row>
    <row r="11">
      <c r="A11" s="4" t="inlineStr">
        <is>
          <t>TC-PERF-004</t>
        </is>
      </c>
      <c r="B11" s="4" t="inlineStr">
        <is>
          <t>Performance</t>
        </is>
      </c>
      <c r="C11" s="6" t="inlineStr">
        <is>
          <t>Check resource count efficiency</t>
        </is>
      </c>
      <c r="D11" s="6" t="inlineStr">
        <is>
          <t>Load home page; count total resources in Network tab</t>
        </is>
      </c>
      <c r="E11" s="6" t="inlineStr">
        <is>
          <t>Total resources &lt;= 20 (v15: 18); delta improvement from v14 (28)</t>
        </is>
      </c>
      <c r="F11" s="4" t="inlineStr">
        <is>
          <t>MEDIUM</t>
        </is>
      </c>
      <c r="G11" s="4" t="inlineStr"/>
    </row>
    <row r="12">
      <c r="A12" s="2" t="inlineStr">
        <is>
          <t>TC-PERF-005</t>
        </is>
      </c>
      <c r="B12" s="2" t="inlineStr">
        <is>
          <t>Performance</t>
        </is>
      </c>
      <c r="C12" s="3" t="inlineStr">
        <is>
          <t>Monitor API polling frequency</t>
        </is>
      </c>
      <c r="D12" s="3" t="inlineStr">
        <is>
          <t>Open DevTools &gt; Network &gt; Filter for /api/notifications</t>
        </is>
      </c>
      <c r="E12" s="3" t="inlineStr">
        <is>
          <t>Polling occurs at regular intervals (currently ~30s); no excessive requests</t>
        </is>
      </c>
      <c r="F12" s="2" t="inlineStr">
        <is>
          <t>LOW</t>
        </is>
      </c>
      <c r="G12" s="2" t="inlineStr">
        <is>
          <t>V15-005</t>
        </is>
      </c>
    </row>
    <row r="13">
      <c r="A13" s="4" t="inlineStr">
        <is>
          <t>TC-PERF-006</t>
        </is>
      </c>
      <c r="B13" s="4" t="inlineStr">
        <is>
          <t>Performance</t>
        </is>
      </c>
      <c r="C13" s="6" t="inlineStr">
        <is>
          <t>Validate FCP under Service Worker</t>
        </is>
      </c>
      <c r="D13" s="6" t="inlineStr">
        <is>
          <t>Load page with DevTools; check Performance tab for First Contentful Paint</t>
        </is>
      </c>
      <c r="E13" s="6" t="inlineStr">
        <is>
          <t>FCP measurements may be suppressed by SW; DOM Complete &lt; 600ms acceptable</t>
        </is>
      </c>
      <c r="F13" s="4" t="inlineStr">
        <is>
          <t>MEDIUM</t>
        </is>
      </c>
      <c r="G13" s="4" t="inlineStr">
        <is>
          <t>V14-001</t>
        </is>
      </c>
    </row>
    <row r="14">
      <c r="A14" s="2" t="inlineStr">
        <is>
          <t>TC-DATA-001</t>
        </is>
      </c>
      <c r="B14" s="2" t="inlineStr">
        <is>
          <t>Data Integrity</t>
        </is>
      </c>
      <c r="C14" s="3" t="inlineStr">
        <is>
          <t>Verify grade badge matches slab cert</t>
        </is>
      </c>
      <c r="D14" s="3" t="inlineStr">
        <is>
          <t>View Black Lotus card; check badge vs. slab image cert numbers</t>
        </is>
      </c>
      <c r="E14" s="3" t="inlineStr">
        <is>
          <t>Badge UGA 9 matches slab GEM MT 10 cert#84720931 (currently mismatch)</t>
        </is>
      </c>
      <c r="F14" s="2" t="inlineStr">
        <is>
          <t>CRITICAL</t>
        </is>
      </c>
      <c r="G14" s="2" t="inlineStr">
        <is>
          <t>V13-009</t>
        </is>
      </c>
    </row>
    <row r="15">
      <c r="A15" s="4" t="inlineStr">
        <is>
          <t>TC-DATA-002</t>
        </is>
      </c>
      <c r="B15" s="4" t="inlineStr">
        <is>
          <t>Data Integrity</t>
        </is>
      </c>
      <c r="C15" s="6" t="inlineStr">
        <is>
          <t>Validate cert# consistency</t>
        </is>
      </c>
      <c r="D15" s="6" t="inlineStr">
        <is>
          <t>Check card details cert# field and slab image</t>
        </is>
      </c>
      <c r="E15" s="6" t="inlineStr">
        <is>
          <t>Cert# 1099308 in details matches slab image (currently: 1099308 vs. 84720931)</t>
        </is>
      </c>
      <c r="F15" s="4" t="inlineStr">
        <is>
          <t>CRITICAL</t>
        </is>
      </c>
      <c r="G15" s="4" t="inlineStr">
        <is>
          <t>V15-001</t>
        </is>
      </c>
    </row>
    <row r="16">
      <c r="A16" s="2" t="inlineStr">
        <is>
          <t>TC-DATA-003</t>
        </is>
      </c>
      <c r="B16" s="2" t="inlineStr">
        <is>
          <t>Data Integrity</t>
        </is>
      </c>
      <c r="C16" s="3" t="inlineStr">
        <is>
          <t>Verify transaction date consistency</t>
        </is>
      </c>
      <c r="D16" s="3" t="inlineStr">
        <is>
          <t>Check Transactions page and Financials page for same transaction</t>
        </is>
      </c>
      <c r="E16" s="3" t="inlineStr">
        <is>
          <t>Dates match across both pages (currently: 03 Apr vs. 01 Apr)</t>
        </is>
      </c>
      <c r="F16" s="2" t="inlineStr">
        <is>
          <t>HIGH</t>
        </is>
      </c>
      <c r="G16" s="2" t="inlineStr">
        <is>
          <t>V13-011</t>
        </is>
      </c>
    </row>
    <row r="17">
      <c r="A17" s="4" t="inlineStr">
        <is>
          <t>TC-DATA-004</t>
        </is>
      </c>
      <c r="B17" s="4" t="inlineStr">
        <is>
          <t>Data Integrity</t>
        </is>
      </c>
      <c r="C17" s="6" t="inlineStr">
        <is>
          <t>Validate card image asset mapping</t>
        </is>
      </c>
      <c r="D17" s="6" t="inlineStr">
        <is>
          <t>View Shohei Ohtani Rookie RC listing; check displayed image</t>
        </is>
      </c>
      <c r="E17" s="6" t="inlineStr">
        <is>
          <t>Displays correct Ohtani card (currently shows Aaron Judge image)</t>
        </is>
      </c>
      <c r="F17" s="4" t="inlineStr">
        <is>
          <t>HIGH</t>
        </is>
      </c>
      <c r="G17" s="4" t="inlineStr">
        <is>
          <t>V14-002</t>
        </is>
      </c>
    </row>
    <row r="18">
      <c r="A18" s="2" t="inlineStr">
        <is>
          <t>TC-DATA-005</t>
        </is>
      </c>
      <c r="B18" s="2" t="inlineStr">
        <is>
          <t>Data Integrity</t>
        </is>
      </c>
      <c r="C18" s="3" t="inlineStr">
        <is>
          <t>Check price format consistency</t>
        </is>
      </c>
      <c r="D18" s="3" t="inlineStr">
        <is>
          <t>View prices in Transactions and elsewhere in admin</t>
        </is>
      </c>
      <c r="E18" s="3" t="inlineStr">
        <is>
          <t>All prices use Rp prefix with periods (Rp 25.000.000)</t>
        </is>
      </c>
      <c r="F18" s="2" t="inlineStr">
        <is>
          <t>MEDIUM</t>
        </is>
      </c>
      <c r="G18" s="2" t="inlineStr">
        <is>
          <t>V13-018</t>
        </is>
      </c>
    </row>
    <row r="19">
      <c r="A19" s="4" t="inlineStr">
        <is>
          <t>TC-DATA-006</t>
        </is>
      </c>
      <c r="B19" s="4" t="inlineStr">
        <is>
          <t>Data Integrity</t>
        </is>
      </c>
      <c r="C19" s="6" t="inlineStr">
        <is>
          <t>Verify year population for graded cards</t>
        </is>
      </c>
      <c r="D19" s="6" t="inlineStr">
        <is>
          <t>View graded card details; check Year field</t>
        </is>
      </c>
      <c r="E19" s="6" t="inlineStr">
        <is>
          <t>Year field populated correctly (e.g., 1993 for Black Lotus)</t>
        </is>
      </c>
      <c r="F19" s="4" t="inlineStr">
        <is>
          <t>MEDIUM</t>
        </is>
      </c>
      <c r="G19" s="4" t="inlineStr">
        <is>
          <t>V13-014</t>
        </is>
      </c>
    </row>
    <row r="20">
      <c r="A20" s="2" t="inlineStr">
        <is>
          <t>TC-FUNC-001</t>
        </is>
      </c>
      <c r="B20" s="2" t="inlineStr">
        <is>
          <t>Functionality</t>
        </is>
      </c>
      <c r="C20" s="3" t="inlineStr">
        <is>
          <t>Verify transaction status enforcement</t>
        </is>
      </c>
      <c r="D20" s="3" t="inlineStr">
        <is>
          <t>Check completed transaction in listing; inspect admin status</t>
        </is>
      </c>
      <c r="E20" s="3" t="inlineStr">
        <is>
          <t>Completed transactions show "inactive" status (currently showing "active")</t>
        </is>
      </c>
      <c r="F20" s="2" t="inlineStr">
        <is>
          <t>HIGH</t>
        </is>
      </c>
      <c r="G20" s="2" t="inlineStr">
        <is>
          <t>V13-010</t>
        </is>
      </c>
    </row>
    <row r="21">
      <c r="A21" s="4" t="inlineStr">
        <is>
          <t>TC-FUNC-002</t>
        </is>
      </c>
      <c r="B21" s="4" t="inlineStr">
        <is>
          <t>Functionality</t>
        </is>
      </c>
      <c r="C21" s="6" t="inlineStr">
        <is>
          <t>Validate KYC enforcement for high-value trades</t>
        </is>
      </c>
      <c r="D21" s="6" t="inlineStr">
        <is>
          <t>Attempt transaction with KYC-rejected user; check activity log</t>
        </is>
      </c>
      <c r="E21" s="6" t="inlineStr">
        <is>
          <t>High-value transactions blocked until KYC approved (John Collector should be rejected)</t>
        </is>
      </c>
      <c r="F21" s="4" t="inlineStr">
        <is>
          <t>CRITICAL</t>
        </is>
      </c>
      <c r="G21" s="4" t="inlineStr">
        <is>
          <t>V13-012</t>
        </is>
      </c>
    </row>
    <row r="22">
      <c r="A22" s="2" t="inlineStr">
        <is>
          <t>TC-FUNC-003</t>
        </is>
      </c>
      <c r="B22" s="2" t="inlineStr">
        <is>
          <t>Functionality</t>
        </is>
      </c>
      <c r="C22" s="3" t="inlineStr">
        <is>
          <t>Check Collection Value calculation</t>
        </is>
      </c>
      <c r="D22" s="3" t="inlineStr">
        <is>
          <t>View collection page; verify total value</t>
        </is>
      </c>
      <c r="E22" s="3" t="inlineStr">
        <is>
          <t>Collection Value calculated and displayed (Rp 65.000.000 expected)</t>
        </is>
      </c>
      <c r="F22" s="2" t="inlineStr">
        <is>
          <t>MEDIUM</t>
        </is>
      </c>
      <c r="G22" s="2" t="inlineStr">
        <is>
          <t>V13-015</t>
        </is>
      </c>
    </row>
    <row r="23">
      <c r="A23" s="4" t="inlineStr">
        <is>
          <t>TC-FUNC-004</t>
        </is>
      </c>
      <c r="B23" s="4" t="inlineStr">
        <is>
          <t>Functionality</t>
        </is>
      </c>
      <c r="C23" s="6" t="inlineStr">
        <is>
          <t>Validate grammar singular/plural</t>
        </is>
      </c>
      <c r="D23" s="6" t="inlineStr">
        <is>
          <t>View collection with 1 trade; inspect text</t>
        </is>
      </c>
      <c r="E23" s="6" t="inlineStr">
        <is>
          <t>"1 trade" (singular) not "1 Trades" (plural)</t>
        </is>
      </c>
      <c r="F23" s="4" t="inlineStr">
        <is>
          <t>LOW</t>
        </is>
      </c>
      <c r="G23" s="4" t="inlineStr">
        <is>
          <t>V13-016</t>
        </is>
      </c>
    </row>
    <row r="24">
      <c r="A24" s="2" t="inlineStr">
        <is>
          <t>TC-FUNC-005</t>
        </is>
      </c>
      <c r="B24" s="2" t="inlineStr">
        <is>
          <t>Functionality</t>
        </is>
      </c>
      <c r="C24" s="3" t="inlineStr">
        <is>
          <t>Verify Platform Fees label</t>
        </is>
      </c>
      <c r="D24" s="3" t="inlineStr">
        <is>
          <t>View admin dashboard; check Fees label</t>
        </is>
      </c>
      <c r="E24" s="3" t="inlineStr">
        <is>
          <t>Label reads "PLATFORM FEES" not "PLATFORM FEES (REVENUE)"</t>
        </is>
      </c>
      <c r="F24" s="2" t="inlineStr">
        <is>
          <t>MEDIUM</t>
        </is>
      </c>
      <c r="G24" s="2" t="inlineStr">
        <is>
          <t>V13-017</t>
        </is>
      </c>
    </row>
    <row r="25">
      <c r="A25" s="4" t="inlineStr">
        <is>
          <t>TC-FUNC-006</t>
        </is>
      </c>
      <c r="B25" s="4" t="inlineStr">
        <is>
          <t>Functionality</t>
        </is>
      </c>
      <c r="C25" s="6" t="inlineStr">
        <is>
          <t>Confirm build version format</t>
        </is>
      </c>
      <c r="D25" s="6" t="inlineStr">
        <is>
          <t>Check page footer or /api/config for version</t>
        </is>
      </c>
      <c r="E25" s="6" t="inlineStr">
        <is>
          <t>Consumer: V0.82.0 (semver); Admin: CVOS v0.81.2 (should match consumer)</t>
        </is>
      </c>
      <c r="F25" s="4" t="inlineStr">
        <is>
          <t>MEDIUM</t>
        </is>
      </c>
      <c r="G25" s="4" t="inlineStr">
        <is>
          <t>V15-002</t>
        </is>
      </c>
    </row>
    <row r="26">
      <c r="A26" s="2" t="inlineStr">
        <is>
          <t>TC-UX-001</t>
        </is>
      </c>
      <c r="B26" s="2" t="inlineStr">
        <is>
          <t>UX</t>
        </is>
      </c>
      <c r="C26" s="3" t="inlineStr">
        <is>
          <t>Test card title truncation tooltip</t>
        </is>
      </c>
      <c r="D26" s="3" t="inlineStr">
        <is>
          <t>View card with long title; hover over truncated title</t>
        </is>
      </c>
      <c r="E26" s="3" t="inlineStr">
        <is>
          <t>Tooltip displays full title text on hover</t>
        </is>
      </c>
      <c r="F26" s="2" t="inlineStr">
        <is>
          <t>MEDIUM</t>
        </is>
      </c>
      <c r="G26" s="2" t="inlineStr">
        <is>
          <t>V13-013</t>
        </is>
      </c>
    </row>
    <row r="27">
      <c r="A27" s="4" t="inlineStr">
        <is>
          <t>TC-UX-002</t>
        </is>
      </c>
      <c r="B27" s="4" t="inlineStr">
        <is>
          <t>UX</t>
        </is>
      </c>
      <c r="C27" s="6" t="inlineStr">
        <is>
          <t>Verify subtitle separator consistency</t>
        </is>
      </c>
      <c r="D27" s="6" t="inlineStr">
        <is>
          <t>View card details subtitle area</t>
        </is>
      </c>
      <c r="E27" s="6" t="inlineStr">
        <is>
          <t>Subtitle shows single separator (Black Lotus · 1993 · Alpha Edition)</t>
        </is>
      </c>
      <c r="F27" s="4" t="inlineStr">
        <is>
          <t>LOW</t>
        </is>
      </c>
      <c r="G27" s="4" t="inlineStr"/>
    </row>
    <row r="28">
      <c r="A28" s="2" t="inlineStr">
        <is>
          <t>TC-UX-003</t>
        </is>
      </c>
      <c r="B28" s="2" t="inlineStr">
        <is>
          <t>UX</t>
        </is>
      </c>
      <c r="C28" s="3" t="inlineStr">
        <is>
          <t>Test form validation messages</t>
        </is>
      </c>
      <c r="D28" s="3" t="inlineStr">
        <is>
          <t>Submit form with invalid data; inspect error states</t>
        </is>
      </c>
      <c r="E28" s="3" t="inlineStr">
        <is>
          <t>Form validation works; error messages display correctly</t>
        </is>
      </c>
      <c r="F28" s="2" t="inlineStr">
        <is>
          <t>MEDIUM</t>
        </is>
      </c>
      <c r="G28" s="2" t="inlineStr"/>
    </row>
    <row r="29">
      <c r="A29" s="4" t="inlineStr">
        <is>
          <t>TC-UX-004</t>
        </is>
      </c>
      <c r="B29" s="4" t="inlineStr">
        <is>
          <t>UX</t>
        </is>
      </c>
      <c r="C29" s="6" t="inlineStr">
        <is>
          <t>Check empty state handling</t>
        </is>
      </c>
      <c r="D29" s="6" t="inlineStr">
        <is>
          <t>Navigate to empty collection/section; verify empty state message</t>
        </is>
      </c>
      <c r="E29" s="6" t="inlineStr">
        <is>
          <t>Empty states display with CTA button; no whitespace voids</t>
        </is>
      </c>
      <c r="F29" s="4" t="inlineStr">
        <is>
          <t>LOW</t>
        </is>
      </c>
      <c r="G29" s="4" t="inlineStr"/>
    </row>
    <row r="30">
      <c r="A30" s="2" t="inlineStr">
        <is>
          <t>TC-UX-005</t>
        </is>
      </c>
      <c r="B30" s="2" t="inlineStr">
        <is>
          <t>UX</t>
        </is>
      </c>
      <c r="C30" s="3" t="inlineStr">
        <is>
          <t>Validate Activity Log timestamp display</t>
        </is>
      </c>
      <c r="D30" s="3" t="inlineStr">
        <is>
          <t>Check admin Activity Log entries; verify timestamps</t>
        </is>
      </c>
      <c r="E30" s="3" t="inlineStr">
        <is>
          <t>Timestamps show actual date/time (currently all show "Just now")</t>
        </is>
      </c>
      <c r="F30" s="2" t="inlineStr">
        <is>
          <t>MEDIUM</t>
        </is>
      </c>
      <c r="G30" s="2" t="inlineStr">
        <is>
          <t>V15-003</t>
        </is>
      </c>
    </row>
    <row r="31">
      <c r="A31" s="4" t="inlineStr">
        <is>
          <t>TC-UX-006</t>
        </is>
      </c>
      <c r="B31" s="4" t="inlineStr">
        <is>
          <t>UX</t>
        </is>
      </c>
      <c r="C31" s="6" t="inlineStr">
        <is>
          <t>Test Promo Banners admin feature</t>
        </is>
      </c>
      <c r="D31" s="6" t="inlineStr">
        <is>
          <t>Access admin Promo Banners page; check loading state</t>
        </is>
      </c>
      <c r="E31" s="6" t="inlineStr">
        <is>
          <t>Page loads banners or shows empty state (currently stuck on "Loading...")</t>
        </is>
      </c>
      <c r="F31" s="4" t="inlineStr">
        <is>
          <t>MEDIUM</t>
        </is>
      </c>
      <c r="G31" s="4" t="inlineStr">
        <is>
          <t>V15-004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6" customWidth="1" min="4" max="4"/>
    <col width="10" customWidth="1" min="5" max="5"/>
    <col width="15" customWidth="1" min="6" max="6"/>
    <col width="9" customWidth="1" min="7" max="7"/>
    <col width="31" customWidth="1" min="8" max="8"/>
  </cols>
  <sheetData>
    <row r="1" ht="25" customHeight="1">
      <c r="A1" s="1" t="inlineStr">
        <is>
          <t>Metric</t>
        </is>
      </c>
      <c r="B1" s="1" t="inlineStr">
        <is>
          <t>Home Fresh</t>
        </is>
      </c>
      <c r="C1" s="1" t="inlineStr">
        <is>
          <t>Card SPA</t>
        </is>
      </c>
      <c r="D1" s="1" t="inlineStr">
        <is>
          <t>Card Deep Link</t>
        </is>
      </c>
      <c r="E1" s="1" t="inlineStr">
        <is>
          <t>v14 Home</t>
        </is>
      </c>
      <c r="F1" s="1" t="inlineStr">
        <is>
          <t>v14 Deep Link</t>
        </is>
      </c>
      <c r="G1" s="1" t="inlineStr">
        <is>
          <t>Target</t>
        </is>
      </c>
      <c r="H1" s="1" t="inlineStr">
        <is>
          <t>Status</t>
        </is>
      </c>
    </row>
    <row r="2">
      <c r="A2" s="2" t="inlineStr">
        <is>
          <t>TTFB (ms)</t>
        </is>
      </c>
      <c r="B2" s="2" t="n">
        <v>375</v>
      </c>
      <c r="C2" s="2" t="inlineStr">
        <is>
          <t>N/A</t>
        </is>
      </c>
      <c r="D2" s="2" t="n">
        <v>809</v>
      </c>
      <c r="E2" s="2" t="n">
        <v>755</v>
      </c>
      <c r="F2" s="2" t="n">
        <v>2442</v>
      </c>
      <c r="G2" s="2" t="inlineStr">
        <is>
          <t>&lt;400ms</t>
        </is>
      </c>
      <c r="H2" s="4">
        <f>IF(OR(B2&lt;400,C2="N/A"),1,0)</f>
        <v/>
      </c>
    </row>
    <row r="3">
      <c r="A3" s="4" t="inlineStr">
        <is>
          <t>DOM Complete (ms)</t>
        </is>
      </c>
      <c r="B3" s="4" t="n">
        <v>505</v>
      </c>
      <c r="C3" s="4" t="n">
        <v>1803</v>
      </c>
      <c r="D3" s="4" t="n">
        <v>993</v>
      </c>
      <c r="E3" s="4" t="inlineStr">
        <is>
          <t>N/A</t>
        </is>
      </c>
      <c r="F3" s="4" t="inlineStr">
        <is>
          <t>N/A</t>
        </is>
      </c>
      <c r="G3" s="4" t="inlineStr">
        <is>
          <t>&lt;1000ms</t>
        </is>
      </c>
      <c r="H3" s="4">
        <f>IF(OR(B3&lt;1000,B3="N/A"),1,0)</f>
        <v/>
      </c>
    </row>
    <row r="4">
      <c r="A4" s="2" t="inlineStr">
        <is>
          <t>Load Complete (ms)</t>
        </is>
      </c>
      <c r="B4" s="2" t="n">
        <v>505</v>
      </c>
      <c r="C4" s="2" t="inlineStr">
        <is>
          <t>N/A</t>
        </is>
      </c>
      <c r="D4" s="2" t="n">
        <v>993</v>
      </c>
      <c r="E4" s="2" t="inlineStr">
        <is>
          <t>N/A</t>
        </is>
      </c>
      <c r="F4" s="2" t="inlineStr">
        <is>
          <t>N/A</t>
        </is>
      </c>
      <c r="G4" s="2" t="inlineStr">
        <is>
          <t>&lt;1000ms</t>
        </is>
      </c>
      <c r="H4" s="4" t="inlineStr"/>
    </row>
    <row r="5">
      <c r="A5" s="4" t="inlineStr">
        <is>
          <t>Resource Count</t>
        </is>
      </c>
      <c r="B5" s="4" t="n">
        <v>18</v>
      </c>
      <c r="C5" s="4" t="inlineStr">
        <is>
          <t>N/A</t>
        </is>
      </c>
      <c r="D5" s="4" t="n">
        <v>22</v>
      </c>
      <c r="E5" s="4" t="n">
        <v>28</v>
      </c>
      <c r="F5" s="4" t="inlineStr">
        <is>
          <t>N/A</t>
        </is>
      </c>
      <c r="G5" s="4" t="inlineStr">
        <is>
          <t>&lt;25</t>
        </is>
      </c>
      <c r="H5" s="4">
        <f>IF(OR(B4&lt;25,B4="N/A"),1,0)</f>
        <v/>
      </c>
    </row>
    <row r="6">
      <c r="A6" s="2" t="inlineStr">
        <is>
          <t>/api/listings/{id} (ms)</t>
        </is>
      </c>
      <c r="B6" s="2" t="inlineStr">
        <is>
          <t>N/A</t>
        </is>
      </c>
      <c r="C6" s="2" t="n">
        <v>1803</v>
      </c>
      <c r="D6" s="2" t="n">
        <v>354</v>
      </c>
      <c r="E6" s="2" t="inlineStr">
        <is>
          <t>N/A</t>
        </is>
      </c>
      <c r="F6" s="2" t="n">
        <v>2950</v>
      </c>
      <c r="G6" s="2" t="inlineStr">
        <is>
          <t>&lt;500ms</t>
        </is>
      </c>
      <c r="H6" s="4">
        <f>IF(OR(D5&lt;500,D5="N/A"),1,0)</f>
        <v/>
      </c>
    </row>
    <row r="7">
      <c r="A7" s="4" t="inlineStr">
        <is>
          <t>/api/home (ms)</t>
        </is>
      </c>
      <c r="B7" s="4" t="n">
        <v>397</v>
      </c>
      <c r="C7" s="4" t="inlineStr">
        <is>
          <t>N/A</t>
        </is>
      </c>
      <c r="D7" s="4" t="inlineStr">
        <is>
          <t>N/A</t>
        </is>
      </c>
      <c r="E7" s="4" t="n">
        <v>342</v>
      </c>
      <c r="F7" s="4" t="inlineStr">
        <is>
          <t>N/A</t>
        </is>
      </c>
      <c r="G7" s="4" t="inlineStr">
        <is>
          <t>&lt;400ms</t>
        </is>
      </c>
      <c r="H7" s="4">
        <f>IF(OR(B6&lt;400,B6="N/A"),1,0)</f>
        <v/>
      </c>
    </row>
    <row r="8">
      <c r="A8" s="2" t="inlineStr">
        <is>
          <t>/api/exchange_rate (ms)</t>
        </is>
      </c>
      <c r="B8" s="2" t="n">
        <v>555</v>
      </c>
      <c r="C8" s="2" t="inlineStr">
        <is>
          <t>N/A</t>
        </is>
      </c>
      <c r="D8" s="2" t="n">
        <v>334</v>
      </c>
      <c r="E8" s="2" t="inlineStr">
        <is>
          <t>N/A</t>
        </is>
      </c>
      <c r="F8" s="2" t="inlineStr">
        <is>
          <t>N/A</t>
        </is>
      </c>
      <c r="G8" s="2" t="inlineStr">
        <is>
          <t>&lt;600ms</t>
        </is>
      </c>
      <c r="H8" s="4">
        <f>IF(OR(B7&lt;600,B7="N/A"),1,0)</f>
        <v/>
      </c>
    </row>
    <row r="9">
      <c r="A9" s="4" t="inlineStr">
        <is>
          <t>/api/auth/me (ms)</t>
        </is>
      </c>
      <c r="B9" s="4" t="inlineStr">
        <is>
          <t>N/A</t>
        </is>
      </c>
      <c r="C9" s="4" t="inlineStr">
        <is>
          <t>N/A</t>
        </is>
      </c>
      <c r="D9" s="4" t="n">
        <v>335</v>
      </c>
      <c r="E9" s="4" t="inlineStr">
        <is>
          <t>N/A</t>
        </is>
      </c>
      <c r="F9" s="4" t="inlineStr">
        <is>
          <t>N/A</t>
        </is>
      </c>
      <c r="G9" s="4" t="inlineStr">
        <is>
          <t>&lt;400ms</t>
        </is>
      </c>
      <c r="H9" s="4">
        <f>IF(OR(D8&lt;400,D8="N/A"),1,0)</f>
        <v/>
      </c>
    </row>
    <row r="10">
      <c r="A10" s="2" t="inlineStr">
        <is>
          <t>Service Worker Active</t>
        </is>
      </c>
      <c r="B10" s="2" t="inlineStr">
        <is>
          <t>YES</t>
        </is>
      </c>
      <c r="C10" s="2" t="inlineStr">
        <is>
          <t>N/A</t>
        </is>
      </c>
      <c r="D10" s="2" t="inlineStr">
        <is>
          <t>YES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YES</t>
        </is>
      </c>
      <c r="H1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9" customWidth="1" min="4" max="4"/>
    <col width="50" customWidth="1" min="5" max="5"/>
  </cols>
  <sheetData>
    <row r="1" ht="25" customHeight="1">
      <c r="A1" s="1" t="inlineStr">
        <is>
          <t>Header</t>
        </is>
      </c>
      <c r="B1" s="1" t="inlineStr">
        <is>
          <t>Beta Value</t>
        </is>
      </c>
      <c r="C1" s="1" t="inlineStr">
        <is>
          <t>Admin Value</t>
        </is>
      </c>
      <c r="D1" s="1" t="inlineStr">
        <is>
          <t>Status</t>
        </is>
      </c>
      <c r="E1" s="1" t="inlineStr">
        <is>
          <t>Recommendation</t>
        </is>
      </c>
    </row>
    <row r="2">
      <c r="A2" s="2" t="inlineStr">
        <is>
          <t>HSTS</t>
        </is>
      </c>
      <c r="B2" s="3" t="inlineStr">
        <is>
          <t>max-age=31536000; includeSubDomains; preload</t>
        </is>
      </c>
      <c r="C2" s="3" t="inlineStr">
        <is>
          <t>max-age=31536000; includeSubDomains; preload</t>
        </is>
      </c>
      <c r="D2" s="10" t="inlineStr">
        <is>
          <t>PASS</t>
        </is>
      </c>
      <c r="E2" s="3" t="inlineStr">
        <is>
          <t>Maintained; preload flag active</t>
        </is>
      </c>
    </row>
    <row r="3">
      <c r="A3" s="4" t="inlineStr">
        <is>
          <t>CSP script-src</t>
        </is>
      </c>
      <c r="B3" s="6" t="inlineStr">
        <is>
          <t>script-src 'self' 'nonce-xxx' 'strict-dynamic'</t>
        </is>
      </c>
      <c r="C3" s="6" t="inlineStr">
        <is>
          <t>script-src 'self' 'nonce-xxx' 'strict-dynamic'</t>
        </is>
      </c>
      <c r="D3" s="10" t="inlineStr">
        <is>
          <t>PASS</t>
        </is>
      </c>
      <c r="E3" s="6" t="inlineStr">
        <is>
          <t>Nonce-based, no unsafe-eval</t>
        </is>
      </c>
    </row>
    <row r="4">
      <c r="A4" s="2" t="inlineStr">
        <is>
          <t>CSP style-src</t>
        </is>
      </c>
      <c r="B4" s="3" t="inlineStr">
        <is>
          <t>style-src 'self' 'nonce-xxx' 'unsafe-inline'</t>
        </is>
      </c>
      <c r="C4" s="3" t="inlineStr">
        <is>
          <t>style-src 'self' 'nonce-xxx' 'unsafe-inline'</t>
        </is>
      </c>
      <c r="D4" s="9" t="inlineStr">
        <is>
          <t>PARTIAL</t>
        </is>
      </c>
      <c r="E4" s="3" t="inlineStr">
        <is>
          <t>Remove unsafe-inline fallback once browser support confirmed</t>
        </is>
      </c>
    </row>
    <row r="5">
      <c r="A5" s="4" t="inlineStr">
        <is>
          <t>CSP img-src</t>
        </is>
      </c>
      <c r="B5" s="6" t="inlineStr">
        <is>
          <t>img-src 'self' data: https:</t>
        </is>
      </c>
      <c r="C5" s="6" t="inlineStr">
        <is>
          <t>img-src 'self' data: https:</t>
        </is>
      </c>
      <c r="D5" s="10" t="inlineStr">
        <is>
          <t>PASS</t>
        </is>
      </c>
      <c r="E5" s="6" t="inlineStr">
        <is>
          <t>Restricts to https only</t>
        </is>
      </c>
    </row>
    <row r="6">
      <c r="A6" s="2" t="inlineStr">
        <is>
          <t>CSP connect-src</t>
        </is>
      </c>
      <c r="B6" s="3" t="inlineStr">
        <is>
          <t>connect-src 'self' https: wss:</t>
        </is>
      </c>
      <c r="C6" s="3" t="inlineStr">
        <is>
          <t>connect-src 'self' https: wss:</t>
        </is>
      </c>
      <c r="D6" s="10" t="inlineStr">
        <is>
          <t>PASS</t>
        </is>
      </c>
      <c r="E6" s="3" t="inlineStr">
        <is>
          <t>Supports WebSocket; migrate /api/notifications to WSS</t>
        </is>
      </c>
    </row>
    <row r="7">
      <c r="A7" s="4" t="inlineStr">
        <is>
          <t>CORS Allow-Origin</t>
        </is>
      </c>
      <c r="B7" s="6" t="inlineStr">
        <is>
          <t>https://beta.cardvault.id</t>
        </is>
      </c>
      <c r="C7" s="6" t="inlineStr">
        <is>
          <t>https://beta.cardvault.id (WRONG)</t>
        </is>
      </c>
      <c r="D7" s="7" t="inlineStr">
        <is>
          <t>FAIL</t>
        </is>
      </c>
      <c r="E7" s="6" t="inlineStr">
        <is>
          <t>Admin should include admin.cardvault.id in allowlist</t>
        </is>
      </c>
    </row>
    <row r="8">
      <c r="A8" s="2" t="inlineStr">
        <is>
          <t>X-Frame-Options</t>
        </is>
      </c>
      <c r="B8" s="3" t="inlineStr">
        <is>
          <t>DENY</t>
        </is>
      </c>
      <c r="C8" s="3" t="inlineStr">
        <is>
          <t>DENY</t>
        </is>
      </c>
      <c r="D8" s="10" t="inlineStr">
        <is>
          <t>PASS</t>
        </is>
      </c>
      <c r="E8" s="3" t="inlineStr">
        <is>
          <t>Prevents clickjacking</t>
        </is>
      </c>
    </row>
    <row r="9">
      <c r="A9" s="4" t="inlineStr">
        <is>
          <t>X-Content-Type-Options</t>
        </is>
      </c>
      <c r="B9" s="6" t="inlineStr">
        <is>
          <t>nosniff</t>
        </is>
      </c>
      <c r="C9" s="6" t="inlineStr">
        <is>
          <t>nosniff</t>
        </is>
      </c>
      <c r="D9" s="10" t="inlineStr">
        <is>
          <t>PASS</t>
        </is>
      </c>
      <c r="E9" s="6" t="inlineStr">
        <is>
          <t>Prevents MIME type sniffing</t>
        </is>
      </c>
    </row>
    <row r="10">
      <c r="A10" s="2" t="inlineStr">
        <is>
          <t>X-XSS-Protection</t>
        </is>
      </c>
      <c r="B10" s="3" t="inlineStr">
        <is>
          <t>1; mode=block</t>
        </is>
      </c>
      <c r="C10" s="3" t="inlineStr">
        <is>
          <t>1; mode=block</t>
        </is>
      </c>
      <c r="D10" s="10" t="inlineStr">
        <is>
          <t>PASS</t>
        </is>
      </c>
      <c r="E10" s="3" t="inlineStr">
        <is>
          <t>Legacy XSS protection active</t>
        </is>
      </c>
    </row>
    <row r="11">
      <c r="A11" s="4" t="inlineStr">
        <is>
          <t>Permissions-Policy</t>
        </is>
      </c>
      <c r="B11" s="6" t="inlineStr">
        <is>
          <t>camera=(), microphone=(), geolocation=(), payment=(self)</t>
        </is>
      </c>
      <c r="C11" s="6" t="inlineStr">
        <is>
          <t>camera=(), microphone=(), geolocation=(), payment=(self)</t>
        </is>
      </c>
      <c r="D11" s="10" t="inlineStr">
        <is>
          <t>PASS</t>
        </is>
      </c>
      <c r="E11" s="6" t="inlineStr">
        <is>
          <t>Restricts sensitive APIs</t>
        </is>
      </c>
    </row>
    <row r="12">
      <c r="A12" s="2" t="inlineStr">
        <is>
          <t>Referrer-Policy</t>
        </is>
      </c>
      <c r="B12" s="3" t="inlineStr">
        <is>
          <t>strict-origin-when-cross-origin</t>
        </is>
      </c>
      <c r="C12" s="3" t="inlineStr">
        <is>
          <t>strict-origin-when-cross-origin</t>
        </is>
      </c>
      <c r="D12" s="10" t="inlineStr">
        <is>
          <t>PASS</t>
        </is>
      </c>
      <c r="E12" s="3" t="inlineStr">
        <is>
          <t>No referrer leakage</t>
        </is>
      </c>
    </row>
    <row r="13">
      <c r="A13" s="4" t="inlineStr">
        <is>
          <t>X-Powered-By</t>
        </is>
      </c>
      <c r="B13" s="6" t="inlineStr">
        <is>
          <t>REMOVED</t>
        </is>
      </c>
      <c r="C13" s="6" t="inlineStr">
        <is>
          <t>REMOVED</t>
        </is>
      </c>
      <c r="D13" s="10" t="inlineStr">
        <is>
          <t>PASS</t>
        </is>
      </c>
      <c r="E13" s="6" t="inlineStr">
        <is>
          <t>Server version not exposed</t>
        </is>
      </c>
    </row>
    <row r="14">
      <c r="A14" s="2" t="inlineStr">
        <is>
          <t>Cache-Control</t>
        </is>
      </c>
      <c r="B14" s="3" t="inlineStr">
        <is>
          <t>private, no-cache, no-store, max-age=0</t>
        </is>
      </c>
      <c r="C14" s="3" t="inlineStr">
        <is>
          <t>Not specified</t>
        </is>
      </c>
      <c r="D14" s="9" t="inlineStr">
        <is>
          <t>PARTIAL</t>
        </is>
      </c>
      <c r="E14" s="3" t="inlineStr">
        <is>
          <t>Admin should also specify no-cache/no-store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0" customWidth="1" min="3" max="3"/>
    <col width="20" customWidth="1" min="4" max="4"/>
  </cols>
  <sheetData>
    <row r="1" ht="25" customHeight="1">
      <c r="A1" s="12" t="inlineStr">
        <is>
          <t>CardVault v15 Audit Summary</t>
        </is>
      </c>
    </row>
    <row r="3">
      <c r="A3" s="13" t="inlineStr">
        <is>
          <t>Overall Score</t>
        </is>
      </c>
      <c r="B3" s="14">
        <f>'7.4/10'</f>
        <v/>
      </c>
    </row>
    <row r="4">
      <c r="A4" s="15" t="inlineStr">
        <is>
          <t>Previous Score (v14)</t>
        </is>
      </c>
      <c r="B4" t="n">
        <v>6.2</v>
      </c>
    </row>
    <row r="5">
      <c r="A5" s="15" t="inlineStr">
        <is>
          <t>Score Improvement</t>
        </is>
      </c>
      <c r="B5" s="16">
        <f>B3-B4</f>
        <v/>
      </c>
    </row>
    <row r="7">
      <c r="A7" s="13" t="inlineStr">
        <is>
          <t>Findings Summary</t>
        </is>
      </c>
    </row>
    <row r="8">
      <c r="A8" s="17" t="inlineStr">
        <is>
          <t>CRITICAL</t>
        </is>
      </c>
      <c r="B8" t="n">
        <v>1</v>
      </c>
    </row>
    <row r="9">
      <c r="A9" s="18" t="inlineStr">
        <is>
          <t>HIGH</t>
        </is>
      </c>
      <c r="B9" t="n">
        <v>5</v>
      </c>
    </row>
    <row r="10">
      <c r="A10" s="19" t="inlineStr">
        <is>
          <t>MEDIUM</t>
        </is>
      </c>
      <c r="B10" t="n">
        <v>7</v>
      </c>
    </row>
    <row r="11">
      <c r="A11" s="20" t="inlineStr">
        <is>
          <t>LOW</t>
        </is>
      </c>
      <c r="B11" t="n">
        <v>3</v>
      </c>
    </row>
    <row r="13">
      <c r="A13" s="13" t="inlineStr">
        <is>
          <t>Fix Rate from v14</t>
        </is>
      </c>
      <c r="B13" s="21">
        <f>CONCATENATE("12/20 = 60%")</f>
        <v/>
      </c>
    </row>
    <row r="15">
      <c r="A15" s="22" t="inlineStr">
        <is>
          <t>Deployment Verdict</t>
        </is>
      </c>
      <c r="B15" s="23" t="inlineStr">
        <is>
          <t>CONDITIONAL GO</t>
        </is>
      </c>
    </row>
    <row r="17">
      <c r="A17" s="24" t="inlineStr">
        <is>
          <t>Blockers (Must Fix Before Production)</t>
        </is>
      </c>
    </row>
    <row r="18">
      <c r="A18" s="25" t="inlineStr">
        <is>
          <t>V13-002: Admin role in localStorage — security vulnerability</t>
        </is>
      </c>
    </row>
    <row r="19">
      <c r="A19" s="25" t="inlineStr">
        <is>
          <t>V13-012: KYC-rejected user completed high-value transaction</t>
        </is>
      </c>
    </row>
    <row r="21">
      <c r="A21" s="24" t="inlineStr">
        <is>
          <t>High Priority (Fix Within 1 Week)</t>
        </is>
      </c>
    </row>
    <row r="22">
      <c r="A22" s="26" t="inlineStr">
        <is>
          <t>V13-009: Grade badge contradicts slab (UGA 9 vs GEM MT 10)</t>
        </is>
      </c>
    </row>
    <row r="23">
      <c r="A23" s="26" t="inlineStr">
        <is>
          <t>V14-002: Ohtani card shows Aaron Judge image</t>
        </is>
      </c>
    </row>
    <row r="24">
      <c r="A24" s="26" t="inlineStr">
        <is>
          <t>V13-010: Completed transaction listing still active</t>
        </is>
      </c>
    </row>
    <row r="25">
      <c r="A25" s="26" t="inlineStr">
        <is>
          <t>V13-011: Date mismatch across admin pages</t>
        </is>
      </c>
    </row>
    <row r="26">
      <c r="A26" s="26" t="inlineStr">
        <is>
          <t>V15-001: Cert# mismatch between card details and slab</t>
        </is>
      </c>
    </row>
    <row r="28">
      <c r="A28" s="24" t="inlineStr">
        <is>
          <t>Score Progression</t>
        </is>
      </c>
    </row>
    <row r="29">
      <c r="A29" s="27" t="inlineStr">
        <is>
          <t>Version</t>
        </is>
      </c>
      <c r="B29" s="27" t="inlineStr">
        <is>
          <t>Score</t>
        </is>
      </c>
    </row>
    <row r="30">
      <c r="A30" t="inlineStr">
        <is>
          <t>v11</t>
        </is>
      </c>
      <c r="B30" s="16" t="n">
        <v>3.2</v>
      </c>
    </row>
    <row r="31">
      <c r="A31" t="inlineStr">
        <is>
          <t>v12</t>
        </is>
      </c>
      <c r="B31" s="16" t="n">
        <v>4.8</v>
      </c>
    </row>
    <row r="32">
      <c r="A32" t="inlineStr">
        <is>
          <t>v13</t>
        </is>
      </c>
      <c r="B32" s="16" t="n">
        <v>5.4</v>
      </c>
    </row>
    <row r="33">
      <c r="A33" t="inlineStr">
        <is>
          <t>v14</t>
        </is>
      </c>
      <c r="B33" s="16" t="n">
        <v>6.2</v>
      </c>
    </row>
    <row r="34">
      <c r="A34" t="inlineStr">
        <is>
          <t>v15</t>
        </is>
      </c>
      <c r="B34" s="16" t="n">
        <v>7.4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2026-04-03T14:47:25Z</dcterms:created>
  <dcterms:modified xmlns:dcterms="http://purl.org/dc/terms/" xmlns:xsi="http://www.w3.org/2001/XMLSchema-instance" xsi:type="dcterms:W3CDTF">2026-04-03T14:47:25Z</dcterms:modified>
</cp:coreProperties>
</file>