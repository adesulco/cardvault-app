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v15 vs v16 Comparison" sheetId="2" state="visible" r:id="rId4"/>
    <sheet name="Test Cases" sheetId="3" state="visible" r:id="rId5"/>
    <sheet name="Performance Benchmark" sheetId="4" state="visible" r:id="rId6"/>
    <sheet name="Security Headers" sheetId="5" state="visible" r:id="rId7"/>
    <sheet name="Summary Dashboard" sheetId="6" state="visible" r:id="rId8"/>
  </sheets>
  <definedNames>
    <definedName function="false" hidden="true" localSheetId="0" name="_xlnm._FilterDatabase" vbProcedure="false">'All Findings'!$A$1:$H$14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<sst xmlns="http://schemas.openxmlformats.org/spreadsheetml/2006/main" count="637" uniqueCount="366">
  <si>
    <t xml:space="preserve">ID</t>
  </si>
  <si>
    <t xml:space="preserve">Severity</t>
  </si>
  <si>
    <t xml:space="preserve">Category</t>
  </si>
  <si>
    <t xml:space="preserve">Description</t>
  </si>
  <si>
    <t xml:space="preserve">Detail</t>
  </si>
  <si>
    <t xml:space="preserve">Status</t>
  </si>
  <si>
    <t xml:space="preserve">Age</t>
  </si>
  <si>
    <t xml:space="preserve">Recommendation</t>
  </si>
  <si>
    <t xml:space="preserve">V13-002</t>
  </si>
  <si>
    <t xml:space="preserve">CRITICAL</t>
  </si>
  <si>
    <t xml:space="preserve">Data Integrity</t>
  </si>
  <si>
    <t xml:space="preserve">Admin role in localStorage</t>
  </si>
  <si>
    <t xml:space="preserve">cardvault-auth-storage has isAdmin:true, userRole:ADMIN. cv_session and cardvault_user in localStorage. Must use httpOnly cookies.</t>
  </si>
  <si>
    <t xml:space="preserve">NOT FIXED</t>
  </si>
  <si>
    <t xml:space="preserve">v13</t>
  </si>
  <si>
    <t xml:space="preserve">Fix before production</t>
  </si>
  <si>
    <t xml:space="preserve">V13-009</t>
  </si>
  <si>
    <t xml:space="preserve">HIGH</t>
  </si>
  <si>
    <t xml:space="preserve">Grade badge contradicts slab</t>
  </si>
  <si>
    <t xml:space="preserve">Black Lotus: badge UGA 9, card details 'Graded (UGA 9)', but slab shows GEM MT 10.</t>
  </si>
  <si>
    <t xml:space="preserve">Priority: HIGH</t>
  </si>
  <si>
    <t xml:space="preserve">V13-010</t>
  </si>
  <si>
    <t xml:space="preserve">Completed transaction listing still active</t>
  </si>
  <si>
    <t xml:space="preserve">Ohtani Rp 25M transaction completed but listing shows 'active' in admin.</t>
  </si>
  <si>
    <t xml:space="preserve">V13-011</t>
  </si>
  <si>
    <t xml:space="preserve">Date mismatch across admin pages</t>
  </si>
  <si>
    <t xml:space="preserve">Transaction 0906f312: Transactions page shows 03 Apr 2026, Financials shows 01 Apr 2026.</t>
  </si>
  <si>
    <t xml:space="preserve">V13-012</t>
  </si>
  <si>
    <t xml:space="preserve">No KYC enforcement for high-value transactions</t>
  </si>
  <si>
    <t xml:space="preserve">John Collector KYC REJECTED/UNVERIFIED but has completed Rp 25M transaction.</t>
  </si>
  <si>
    <t xml:space="preserve">V13-019</t>
  </si>
  <si>
    <t xml:space="preserve">MEDIUM</t>
  </si>
  <si>
    <t xml:space="preserve">Performance/Security</t>
  </si>
  <si>
    <t xml:space="preserve">Chart Y-axis VOLUME (IDR)</t>
  </si>
  <si>
    <t xml:space="preserve">Should use Rp prefix format, not currency code.</t>
  </si>
  <si>
    <t xml:space="preserve">Priority: MEDIUM</t>
  </si>
  <si>
    <t xml:space="preserve">V14-002</t>
  </si>
  <si>
    <t xml:space="preserve">Ohtani listing shows Aaron Judge image</t>
  </si>
  <si>
    <t xml:space="preserve">Listing 'Shohei Ohtani Chrome RC Auto' still displays wrong card/slab image.</t>
  </si>
  <si>
    <t xml:space="preserve">v14</t>
  </si>
  <si>
    <t xml:space="preserve">V14-005</t>
  </si>
  <si>
    <t xml:space="preserve">CORS on admin returns beta origin only</t>
  </si>
  <si>
    <t xml:space="preserve">admin.cardvault.id Access-Control-Allow-Origin: https://beta.cardvault.id — should include admin domain.</t>
  </si>
  <si>
    <t xml:space="preserve">V15-005</t>
  </si>
  <si>
    <t xml:space="preserve">LOW</t>
  </si>
  <si>
    <t xml:space="preserve">/api/notifications polling every ~30s</t>
  </si>
  <si>
    <t xml:space="preserve">Notifications API polled repeatedly (~30s intervals). Should use WebSocket or increase interval.</t>
  </si>
  <si>
    <t xml:space="preserve">v15</t>
  </si>
  <si>
    <t xml:space="preserve">Priority: LOW</t>
  </si>
  <si>
    <t xml:space="preserve">V15-006</t>
  </si>
  <si>
    <t xml:space="preserve">style-src unsafe-inline fallback</t>
  </si>
  <si>
    <t xml:space="preserve">While nonce was added to style-src, unsafe-inline is kept as fallback. Should be removed for strict CSP.</t>
  </si>
  <si>
    <t xml:space="preserve">V15-007</t>
  </si>
  <si>
    <t xml:space="preserve">SPA /api/listings/{id} performance — NOW REGRESSED</t>
  </si>
  <si>
    <t xml:space="preserve">Deep link 390ms (target met). SPA navigation regressed to 2,572ms (was 1,803ms in v15). 43% slower.</t>
  </si>
  <si>
    <t xml:space="preserve">WORSE</t>
  </si>
  <si>
    <t xml:space="preserve">V16-001</t>
  </si>
  <si>
    <t xml:space="preserve">Performance</t>
  </si>
  <si>
    <t xml:space="preserve">SPA /api/listings/{id} regression from 1,803ms to 2,572ms</t>
  </si>
  <si>
    <t xml:space="preserve">SPA navigation to card detail shows /api/listings/{id} at 2,572ms, a 43% regression from v15's 1,803ms. Deep link remains fast at 390ms. Widening gap between navigation modes suggests SPA prefetch/cache strategy not working.</t>
  </si>
  <si>
    <t xml:space="preserve">NEW</t>
  </si>
  <si>
    <t xml:space="preserve">v16</t>
  </si>
  <si>
    <t xml:space="preserve">Investigate and fix</t>
  </si>
  <si>
    <t xml:space="preserve">V16-002</t>
  </si>
  <si>
    <t xml:space="preserve">Configuration</t>
  </si>
  <si>
    <t xml:space="preserve">Home page banners possibly hardcoded while admin Promo Banners tool is empty</t>
  </si>
  <si>
    <t xml:space="preserve">Consumer home page now shows promo banners and CTA content, but admin Promo Banners page shows 'No promo banners configured.' This suggests banners may be hardcoded rather than admin-controlled. Verify CMS integration.</t>
  </si>
  <si>
    <t xml:space="preserve">v15 State</t>
  </si>
  <si>
    <t xml:space="preserve">v16 State</t>
  </si>
  <si>
    <t xml:space="preserve">Change</t>
  </si>
  <si>
    <t xml:space="preserve">V15-001</t>
  </si>
  <si>
    <t xml:space="preserve">Cert# now matches slab image</t>
  </si>
  <si>
    <t xml:space="preserve">Cert# 1099308 vs slab 84720931</t>
  </si>
  <si>
    <t xml:space="preserve">Cert# 84720931 matches slab</t>
  </si>
  <si>
    <t xml:space="preserve">FIXED</t>
  </si>
  <si>
    <t xml:space="preserve">✓ FIXED</t>
  </si>
  <si>
    <t xml:space="preserve">V15-002</t>
  </si>
  <si>
    <t xml:space="preserve">Admin build version synchronized</t>
  </si>
  <si>
    <t xml:space="preserve">CVOS v0.81.2</t>
  </si>
  <si>
    <t xml:space="preserve">CVOS v0.82.0 (matches consumer)</t>
  </si>
  <si>
    <t xml:space="preserve">V15-003</t>
  </si>
  <si>
    <t xml:space="preserve">Activity Log timestamps fixed</t>
  </si>
  <si>
    <t xml:space="preserve">All entries show 'Just now'</t>
  </si>
  <si>
    <t xml:space="preserve">Timestamps show '3 Apr 2026, 22:13' format</t>
  </si>
  <si>
    <t xml:space="preserve">V15-004</t>
  </si>
  <si>
    <t xml:space="preserve">Promo Banners empty state implemented</t>
  </si>
  <si>
    <t xml:space="preserve">'Loading banners...' indefinitely</t>
  </si>
  <si>
    <t xml:space="preserve">'No promo banners configured.' empty state</t>
  </si>
  <si>
    <t xml:space="preserve">V13-020</t>
  </si>
  <si>
    <t xml:space="preserve">Home page now has marketplace content</t>
  </si>
  <si>
    <t xml:space="preserve">No featured cards or recently listed</t>
  </si>
  <si>
    <t xml:space="preserve">Promo banners and CTA content visible on home page</t>
  </si>
  <si>
    <t xml:space="preserve">OPEN</t>
  </si>
  <si>
    <t xml:space="preserve">OPEN (REGRESSION)</t>
  </si>
  <si>
    <t xml:space="preserve">N/A (not found)</t>
  </si>
  <si>
    <t xml:space="preserve">TC-ID</t>
  </si>
  <si>
    <t xml:space="preserve">Test Case Title</t>
  </si>
  <si>
    <t xml:space="preserve">Preconditions</t>
  </si>
  <si>
    <t xml:space="preserve">Steps</t>
  </si>
  <si>
    <t xml:space="preserve">Expected Result</t>
  </si>
  <si>
    <t xml:space="preserve">Priority</t>
  </si>
  <si>
    <t xml:space="preserve">Related Finding</t>
  </si>
  <si>
    <t xml:space="preserve">TC-SEC-001</t>
  </si>
  <si>
    <t xml:space="preserve">Security</t>
  </si>
  <si>
    <t xml:space="preserve">Verify localStorage auth storage</t>
  </si>
  <si>
    <t xml:space="preserve">Browser console accessible</t>
  </si>
  <si>
    <t xml:space="preserve">1. Open DevTools
2. Check Application &gt; Storage &gt; localStorage
3. Inspect cardvault-auth-storage</t>
  </si>
  <si>
    <t xml:space="preserve">No admin role or sensitive data stored in localStorage; auth uses httpOnly cookies only</t>
  </si>
  <si>
    <t xml:space="preserve">P0</t>
  </si>
  <si>
    <t xml:space="preserve">TC-SEC-002</t>
  </si>
  <si>
    <t xml:space="preserve">Validate httpOnly cookie implementation</t>
  </si>
  <si>
    <t xml:space="preserve">Authenticated user session</t>
  </si>
  <si>
    <t xml:space="preserve">1. Open DevTools Network tab
2. Login and check Set-Cookie headers
3. Verify cookie flags</t>
  </si>
  <si>
    <t xml:space="preserve">Cookies have HttpOnly, Secure, SameSite flags set; cannot access via document.cookie</t>
  </si>
  <si>
    <t xml:space="preserve">TC-SEC-003</t>
  </si>
  <si>
    <t xml:space="preserve">Test CORS admin domain inclusion</t>
  </si>
  <si>
    <t xml:space="preserve">Admin domain https://admin.cardvault.id</t>
  </si>
  <si>
    <t xml:space="preserve">1. Open admin page DevTools
2. Make XHR request from admin to admin API
3. Check Access-Control-Allow-Origin header</t>
  </si>
  <si>
    <t xml:space="preserve">Header includes https://admin.cardvault.id; not limited to beta domain only</t>
  </si>
  <si>
    <t xml:space="preserve">P1</t>
  </si>
  <si>
    <t xml:space="preserve">TC-SEC-004</t>
  </si>
  <si>
    <t xml:space="preserve">Verify CSP nonce validation</t>
  </si>
  <si>
    <t xml:space="preserve">Network tab monitoring</t>
  </si>
  <si>
    <t xml:space="preserve">1. Open page source
2. Check script and style tags for nonce attribute
3. Verify nonce matches CSP header
4. Check that nonce changes per request</t>
  </si>
  <si>
    <t xml:space="preserve">All inline scripts/styles have nonce attribute matching CSP header; nonce unique per request</t>
  </si>
  <si>
    <t xml:space="preserve">TC-SEC-005</t>
  </si>
  <si>
    <t xml:space="preserve">Validate OWASP Top 10 compliance</t>
  </si>
  <si>
    <t xml:space="preserve">Full app access</t>
  </si>
  <si>
    <t xml:space="preserve">1. Check for XSS vulnerabilities with test payloads
2. Test SQL injection endpoints
3. Verify CSRF tokens present
4. Check authentication bypass attempts</t>
  </si>
  <si>
    <t xml:space="preserve">All OWASP Top 10 checks pass; no XSS, injection, or auth bypass possible</t>
  </si>
  <si>
    <t xml:space="preserve">TC-DATA-001</t>
  </si>
  <si>
    <t xml:space="preserve">Verify grade badge matches slab certification</t>
  </si>
  <si>
    <t xml:space="preserve">Black Lotus card in collection</t>
  </si>
  <si>
    <t xml:space="preserve">1. Navigate to card detail
2. Check grade badge
3. Open slab image
4. Compare cert# and grade</t>
  </si>
  <si>
    <t xml:space="preserve">Grade badge shows GEM MT 10 matching slab; cert# 84720931 consistent</t>
  </si>
  <si>
    <t xml:space="preserve">TC-DATA-002</t>
  </si>
  <si>
    <t xml:space="preserve">Validate cert# consistency across pages</t>
  </si>
  <si>
    <t xml:space="preserve">Card with graded certification</t>
  </si>
  <si>
    <t xml:space="preserve">1. View card in listing
2. View card in collection
3. View card detail page
4. Check admin card edit page</t>
  </si>
  <si>
    <t xml:space="preserve">Cert# identical on all pages; no mismatches between detail and slab</t>
  </si>
  <si>
    <t xml:space="preserve">TC-DATA-003</t>
  </si>
  <si>
    <t xml:space="preserve">Verify transaction date consistency</t>
  </si>
  <si>
    <t xml:space="preserve">Transaction 0906f312 in admin</t>
  </si>
  <si>
    <t xml:space="preserve">1. Open admin Transactions page
2. Check date for transaction 0906f312
3. Open admin Financials page
4. Compare date for same transaction</t>
  </si>
  <si>
    <t xml:space="preserve">Date shows 03 Apr 2026 consistently; no mismatch between Transactions and Financials</t>
  </si>
  <si>
    <t xml:space="preserve">TC-DATA-004</t>
  </si>
  <si>
    <t xml:space="preserve">Test card image consistency</t>
  </si>
  <si>
    <t xml:space="preserve">Shohei Ohtani Chrome RC Auto listing</t>
  </si>
  <si>
    <t xml:space="preserve">1. View listing
2. Check card image
3. View card detail
4. Verify image in slab</t>
  </si>
  <si>
    <t xml:space="preserve">Image shows Ohtani card (not Aaron Judge); consistent across all views</t>
  </si>
  <si>
    <t xml:space="preserve">TC-DATA-005</t>
  </si>
  <si>
    <t xml:space="preserve">Validate KYC enforcement for high-value transactions</t>
  </si>
  <si>
    <t xml:space="preserve">John Collector account (REJECTED KYC)</t>
  </si>
  <si>
    <t xml:space="preserve">1. Check KYC status in admin Users
2. Attempt transaction &gt;= Rp 20M
3. Check transaction approval flow
4. Verify transaction blocked or flagged</t>
  </si>
  <si>
    <t xml:space="preserve">Transaction blocked/flagged for unverified KYC; high-value transactions require verified KYC</t>
  </si>
  <si>
    <t xml:space="preserve">TC-FUNC-001</t>
  </si>
  <si>
    <t xml:space="preserve">Functionality</t>
  </si>
  <si>
    <t xml:space="preserve">Verify completed transaction listing status</t>
  </si>
  <si>
    <t xml:space="preserve">Ohtani Rp 25M transaction (completed)</t>
  </si>
  <si>
    <t xml:space="preserve">1. View listing in consumer
2. Check status (should be inactive/sold)
3. View in admin listings
4. Verify status is NOT active</t>
  </si>
  <si>
    <t xml:space="preserve">Listing shows as inactive/completed, not active; admin shows status correctly</t>
  </si>
  <si>
    <t xml:space="preserve">TC-FUNC-002</t>
  </si>
  <si>
    <t xml:space="preserve">Test collection value calculation</t>
  </si>
  <si>
    <t xml:space="preserve">Collection with graded cards</t>
  </si>
  <si>
    <t xml:space="preserve">1. Navigate to My Collection
2. Add 5 graded cards
3. Check Collection Value total
4. Verify calculation accuracy</t>
  </si>
  <si>
    <t xml:space="preserve">Collection Value calculated correctly based on card values; no zero values</t>
  </si>
  <si>
    <t xml:space="preserve">P2</t>
  </si>
  <si>
    <t xml:space="preserve">V13-015</t>
  </si>
  <si>
    <t xml:space="preserve">TC-FUNC-003</t>
  </si>
  <si>
    <t xml:space="preserve">Validate grammar (singular/plural)</t>
  </si>
  <si>
    <t xml:space="preserve">Portfolio with trades section</t>
  </si>
  <si>
    <t xml:space="preserve">1. Check portfolio with 1 trade
2. Check portfolio with 2+ trades
3. Verify singular vs plural forms</t>
  </si>
  <si>
    <t xml:space="preserve">Shows '1 trade' (singular), '2 trades' (plural); grammar consistent throughout</t>
  </si>
  <si>
    <t xml:space="preserve">V13-016</t>
  </si>
  <si>
    <t xml:space="preserve">TC-FUNC-004</t>
  </si>
  <si>
    <t xml:space="preserve">Test price format consistency</t>
  </si>
  <si>
    <t xml:space="preserve">Admin Transactions page</t>
  </si>
  <si>
    <t xml:space="preserve">1. View admin Transactions
2. Check price formatting (Rp with separator)
3. View Financials page
4. Verify format consistency</t>
  </si>
  <si>
    <t xml:space="preserve">Prices use Rp 25.000.000 (periods, not commas); consistent across all pages</t>
  </si>
  <si>
    <t xml:space="preserve">V13-018</t>
  </si>
  <si>
    <t xml:space="preserve">TC-FUNC-005</t>
  </si>
  <si>
    <t xml:space="preserve">Verify promo banners visibility</t>
  </si>
  <si>
    <t xml:space="preserve">Home page consumer</t>
  </si>
  <si>
    <t xml:space="preserve">1. Load consumer home page
2. Check for promo banners section
3. If configured, verify banners display
4. If not configured, check for empty state</t>
  </si>
  <si>
    <t xml:space="preserve">Promo banners either display content or show proper empty state; no indefinite loading</t>
  </si>
  <si>
    <t xml:space="preserve">TC-PERF-001</t>
  </si>
  <si>
    <t xml:space="preserve">Measure home page TTFB</t>
  </si>
  <si>
    <t xml:space="preserve">Fresh browser load, DevTools Network</t>
  </si>
  <si>
    <t xml:space="preserve">1. Clear cache
2. Load home page
3. Check Network tab
4. Record TTFB value</t>
  </si>
  <si>
    <t xml:space="preserve">TTFB &lt;= 400ms (target); currently ~379ms</t>
  </si>
  <si>
    <t xml:space="preserve">TC-PERF-002</t>
  </si>
  <si>
    <t xml:space="preserve">Test deep link API response time</t>
  </si>
  <si>
    <t xml:space="preserve">Card detail deep link (direct URL)</t>
  </si>
  <si>
    <t xml:space="preserve">1. Open DevTools Network
2. Navigate via direct card URL
3. Check /api/listings/{id} timing
4. Record response time</t>
  </si>
  <si>
    <t xml:space="preserve">API response &lt;= 500ms (target); deep link ~390ms achieved</t>
  </si>
  <si>
    <t xml:space="preserve">TC-PERF-003</t>
  </si>
  <si>
    <t xml:space="preserve">Validate SPA navigation performance</t>
  </si>
  <si>
    <t xml:space="preserve">SPA navigation to card detail</t>
  </si>
  <si>
    <t xml:space="preserve">1. Load home page
2. Click card to navigate (SPA)
3. Check /api/listings/{id} timing
4. Verify vs deep link performance</t>
  </si>
  <si>
    <t xml:space="preserve">SPA navigation &lt;= 1800ms (was 2572ms v16 = regression); ideally match deep link</t>
  </si>
  <si>
    <t xml:space="preserve">TC-PERF-004</t>
  </si>
  <si>
    <t xml:space="preserve">Verify Service Worker caching</t>
  </si>
  <si>
    <t xml:space="preserve">Service Worker enabled</t>
  </si>
  <si>
    <t xml:space="preserve">1. Load page with SW active
2. Go offline
3. Navigate pages
4. Check DevTools Application &gt; Cache</t>
  </si>
  <si>
    <t xml:space="preserve">Service Worker serves cached assets; app partially functional offline</t>
  </si>
  <si>
    <t xml:space="preserve">TC-PERF-005</t>
  </si>
  <si>
    <t xml:space="preserve">Test notification polling interval</t>
  </si>
  <si>
    <t xml:space="preserve">Open app with notifications enabled</t>
  </si>
  <si>
    <t xml:space="preserve">1. Open DevTools Network
2. Monitor /api/notifications calls
3. Record polling interval
4. Check for excessive requests</t>
  </si>
  <si>
    <t xml:space="preserve">Notifications polled at &lt;= 60s intervals (was ~30s); not excessive</t>
  </si>
  <si>
    <t xml:space="preserve">TC-UX-001</t>
  </si>
  <si>
    <t xml:space="preserve">UX</t>
  </si>
  <si>
    <t xml:space="preserve">Verify home page marketplace content</t>
  </si>
  <si>
    <t xml:space="preserve">Consumer home page</t>
  </si>
  <si>
    <t xml:space="preserve">1. Load home page
2. Check for featured cards section
3. Check for promo banners
4. Verify CTA visibility</t>
  </si>
  <si>
    <t xml:space="preserve">Home page displays marketplace content: promo banners, CTA, no empty state</t>
  </si>
  <si>
    <t xml:space="preserve">TC-UX-002</t>
  </si>
  <si>
    <t xml:space="preserve">Test card title tooltip on truncation</t>
  </si>
  <si>
    <t xml:space="preserve">Card with long title</t>
  </si>
  <si>
    <t xml:space="preserve">1. View card listing/detail
2. Hover over truncated title
3. Check for tooltip
4. Verify full text in tooltip</t>
  </si>
  <si>
    <t xml:space="preserve">Tooltip appears on hover showing full card title when truncated</t>
  </si>
  <si>
    <t xml:space="preserve">V13-013</t>
  </si>
  <si>
    <t xml:space="preserve">TC-UX-003</t>
  </si>
  <si>
    <t xml:space="preserve">Validate Activity Log timestamps</t>
  </si>
  <si>
    <t xml:space="preserve">Admin Activity Log page</t>
  </si>
  <si>
    <t xml:space="preserve">1. Open admin Activity Log
2. Check timestamp display
3. Verify format (e.g., '3 Apr 2026, 22:13')
4. Compare with actual event time</t>
  </si>
  <si>
    <t xml:space="preserve">Timestamps show actual dates/times (not 'Just now'); audit trail clear</t>
  </si>
  <si>
    <t xml:space="preserve">TC-UX-004</t>
  </si>
  <si>
    <t xml:space="preserve">Test empty state handling</t>
  </si>
  <si>
    <t xml:space="preserve">Promo Banners (no configured banners)</t>
  </si>
  <si>
    <t xml:space="preserve">1. Open admin Promo Banners
2. Check display when empty
3. Verify empty state message
4. Check for error state</t>
  </si>
  <si>
    <t xml:space="preserve">Shows 'No promo banners configured' empty state; no loading spinner indefinitely</t>
  </si>
  <si>
    <t xml:space="preserve">TC-UX-005</t>
  </si>
  <si>
    <t xml:space="preserve">Verify bottom navigation functionality</t>
  </si>
  <si>
    <t xml:space="preserve">Consumer app bottom nav</t>
  </si>
  <si>
    <t xml:space="preserve">1. Start on Home
2. Click Explore
3. Click back to Home
4. Verify navigation works smoothly</t>
  </si>
  <si>
    <t xml:space="preserve">Bottom nav links functional; smooth navigation between sections</t>
  </si>
  <si>
    <t xml:space="preserve">TC-REGR-001</t>
  </si>
  <si>
    <t xml:space="preserve">Regression</t>
  </si>
  <si>
    <t xml:space="preserve">Verify v15 fixes maintained</t>
  </si>
  <si>
    <t xml:space="preserve">All maintained fixes</t>
  </si>
  <si>
    <t xml:space="preserve">1. Check cert# fix (matching slab)
2. Verify admin build version (V0.82.0)
3. Confirm Activity Log timestamps
4. Verify Promo Banners empty state</t>
  </si>
  <si>
    <t xml:space="preserve">All v15 fixes confirmed in v16; no regression on fixed items</t>
  </si>
  <si>
    <t xml:space="preserve">TC-REGR-002</t>
  </si>
  <si>
    <t xml:space="preserve">Validate build version format</t>
  </si>
  <si>
    <t xml:space="preserve">Consumer and Admin apps</t>
  </si>
  <si>
    <t xml:space="preserve">1. Check consumer build: V0.82.0 format
2. Check admin build: CVOS v0.82.0 format
3. Verify versions match
4. Check version in app footer</t>
  </si>
  <si>
    <t xml:space="preserve">Build versions synchronized (both V0.82.0 or CVOS v0.82.0); semver format maintained</t>
  </si>
  <si>
    <t xml:space="preserve">TC-REGR-003</t>
  </si>
  <si>
    <t xml:space="preserve">Test currency format consistency</t>
  </si>
  <si>
    <t xml:space="preserve">All price displays</t>
  </si>
  <si>
    <t xml:space="preserve">1. Check consumer prices (Rp format)
2. Check admin prices (Rp with periods)
3. Verify no commas used
4. Check exchange rates</t>
  </si>
  <si>
    <t xml:space="preserve">Currency consistently shown as Rp with period separators (Rp 25.000.000)</t>
  </si>
  <si>
    <t xml:space="preserve">TC-REGR-004</t>
  </si>
  <si>
    <t xml:space="preserve">Verify subtitle separator format</t>
  </si>
  <si>
    <t xml:space="preserve">Card detail pages</t>
  </si>
  <si>
    <t xml:space="preserve">1. View any graded card
2. Check subtitle format
3. Example: 'Black Lotus · 1993 · Alpha Edition'
4. Verify single separator character</t>
  </si>
  <si>
    <t xml:space="preserve">Subtitle uses single · separator; format 'Card · Year · Edition' maintained</t>
  </si>
  <si>
    <t xml:space="preserve">V12-008</t>
  </si>
  <si>
    <t xml:space="preserve">TC-REGR-005</t>
  </si>
  <si>
    <t xml:space="preserve">Test card detail deep links</t>
  </si>
  <si>
    <t xml:space="preserve">Various card direct URLs</t>
  </si>
  <si>
    <t xml:space="preserve">1. Access card via direct URL (deep link)
2. Verify card detail loads
3. Check navigation back to listing
4. Test multiple card deep links</t>
  </si>
  <si>
    <t xml:space="preserve">Deep links resolve correctly; no 404 errors; page loads in &lt;= 1000ms</t>
  </si>
  <si>
    <t xml:space="preserve">TC-API-001</t>
  </si>
  <si>
    <t xml:space="preserve">API</t>
  </si>
  <si>
    <t xml:space="preserve">Measure API response times</t>
  </si>
  <si>
    <t xml:space="preserve">/api/listings, /api/home, /api/users</t>
  </si>
  <si>
    <t xml:space="preserve">1. Open DevTools Network
2. Call each API endpoint
3. Record response times
4. Compare vs benchmarks</t>
  </si>
  <si>
    <t xml:space="preserve">All API responses &lt;= 500ms (listing, home, users endpoints)</t>
  </si>
  <si>
    <t xml:space="preserve">TC-API-002</t>
  </si>
  <si>
    <t xml:space="preserve">Test error handling and status codes</t>
  </si>
  <si>
    <t xml:space="preserve">Invalid API requests</t>
  </si>
  <si>
    <t xml:space="preserve">1. Call API with invalid params
2. Call with missing auth
3. Call with expired token
4. Verify error responses</t>
  </si>
  <si>
    <t xml:space="preserve">Proper HTTP status codes (400, 401, 404, 500); clear error messages</t>
  </si>
  <si>
    <t xml:space="preserve">TC-API-003</t>
  </si>
  <si>
    <t xml:space="preserve">Validate authentication endpoints</t>
  </si>
  <si>
    <t xml:space="preserve">/api/auth/login, /api/auth/logout</t>
  </si>
  <si>
    <t xml:space="preserve">1. Test login with valid credentials
2. Test login with invalid credentials
3. Test logout flow
4. Verify token management</t>
  </si>
  <si>
    <t xml:space="preserve">Authentication endpoints secure; tokens properly managed; session handling correct</t>
  </si>
  <si>
    <t xml:space="preserve">TC-API-004</t>
  </si>
  <si>
    <t xml:space="preserve">Verify CORS headers on API</t>
  </si>
  <si>
    <t xml:space="preserve">XHR requests from consumer to API</t>
  </si>
  <si>
    <t xml:space="preserve">1. Make XHR request from consumer
2. Check response headers
3. Verify Access-Control-* headers
4. Test from different origins</t>
  </si>
  <si>
    <t xml:space="preserve">CORS headers present and correct; allows beta.cardvault.id</t>
  </si>
  <si>
    <t xml:space="preserve">TC-API-005</t>
  </si>
  <si>
    <t xml:space="preserve">Test cache headers</t>
  </si>
  <si>
    <t xml:space="preserve">API response headers</t>
  </si>
  <si>
    <t xml:space="preserve">1. Check Cache-Control headers
2. Verify private, no-cache, no-store
3. Check ETag presence
4. Verify must-revalidate flag</t>
  </si>
  <si>
    <t xml:space="preserve">Cache headers correct (private, no-cache, no-store, max-age=0)</t>
  </si>
  <si>
    <t xml:space="preserve">Metric</t>
  </si>
  <si>
    <t xml:space="preserve">v15 Value</t>
  </si>
  <si>
    <t xml:space="preserve">v16 Value</t>
  </si>
  <si>
    <t xml:space="preserve">Target</t>
  </si>
  <si>
    <t xml:space="preserve">Home Page TTFB (ms)</t>
  </si>
  <si>
    <t xml:space="preserve">Home Page DOM Complete (ms)</t>
  </si>
  <si>
    <t xml:space="preserve">Home Page Resources</t>
  </si>
  <si>
    <t xml:space="preserve">Deep Link TTFB (ms)</t>
  </si>
  <si>
    <t xml:space="preserve">Deep Link API /api/listings/{id} (ms)</t>
  </si>
  <si>
    <t xml:space="preserve">SPA Navigation /api/listings/{id} (ms)</t>
  </si>
  <si>
    <t xml:space="preserve">Home API Response (ms)</t>
  </si>
  <si>
    <t xml:space="preserve">Exchange Rate API (ms)</t>
  </si>
  <si>
    <t xml:space="preserve">Header</t>
  </si>
  <si>
    <t xml:space="preserve">Expected Value</t>
  </si>
  <si>
    <t xml:space="preserve">Beta (actual)</t>
  </si>
  <si>
    <t xml:space="preserve">Admin (actual)</t>
  </si>
  <si>
    <t xml:space="preserve">Beta Status</t>
  </si>
  <si>
    <t xml:space="preserve">Admin Status</t>
  </si>
  <si>
    <t xml:space="preserve">HSTS</t>
  </si>
  <si>
    <t xml:space="preserve">max-age=31536000; includeSubDomains; preload</t>
  </si>
  <si>
    <t xml:space="preserve">PASS</t>
  </si>
  <si>
    <t xml:space="preserve">CSP</t>
  </si>
  <si>
    <t xml:space="preserve">default-src 'self' (with nonce)</t>
  </si>
  <si>
    <t xml:space="preserve">Present with nonce</t>
  </si>
  <si>
    <t xml:space="preserve">CORS</t>
  </si>
  <si>
    <t xml:space="preserve">Restrict to own domain</t>
  </si>
  <si>
    <t xml:space="preserve">https://beta.cardvault.id</t>
  </si>
  <si>
    <t xml:space="preserve">https://beta.cardvault.id (should include admin)</t>
  </si>
  <si>
    <t xml:space="preserve">FAIL</t>
  </si>
  <si>
    <t xml:space="preserve">X-Frame-Options</t>
  </si>
  <si>
    <t xml:space="preserve">DENY</t>
  </si>
  <si>
    <t xml:space="preserve">X-Content-Type-Options</t>
  </si>
  <si>
    <t xml:space="preserve">nosniff</t>
  </si>
  <si>
    <t xml:space="preserve">X-XSS-Protection</t>
  </si>
  <si>
    <t xml:space="preserve">1; mode=block</t>
  </si>
  <si>
    <t xml:space="preserve">Permissions-Policy</t>
  </si>
  <si>
    <t xml:space="preserve">Restrictive policy</t>
  </si>
  <si>
    <t xml:space="preserve">camera=(), microphone=(), geolocation=(), payment=(self)</t>
  </si>
  <si>
    <t xml:space="preserve">Referrer-Policy</t>
  </si>
  <si>
    <t xml:space="preserve">strict-origin-when-cross-origin</t>
  </si>
  <si>
    <t xml:space="preserve">X-Powered-By</t>
  </si>
  <si>
    <t xml:space="preserve">REMOVED</t>
  </si>
  <si>
    <t xml:space="preserve">Cache-Control</t>
  </si>
  <si>
    <t xml:space="preserve">private, no-cache, no-store</t>
  </si>
  <si>
    <t xml:space="preserve">private, no-cache, no-store, max-age=0</t>
  </si>
  <si>
    <t xml:space="preserve">N/A</t>
  </si>
  <si>
    <t xml:space="preserve">Service Worker</t>
  </si>
  <si>
    <t xml:space="preserve">Active</t>
  </si>
  <si>
    <t xml:space="preserve">CardVault v16 Audit Summary</t>
  </si>
  <si>
    <t xml:space="preserve">Overall Score</t>
  </si>
  <si>
    <t xml:space="preserve">Previous Score (v15)</t>
  </si>
  <si>
    <t xml:space="preserve">Improvement</t>
  </si>
  <si>
    <t xml:space="preserve">Score Breakdown by Domain</t>
  </si>
  <si>
    <t xml:space="preserve">Domain</t>
  </si>
  <si>
    <t xml:space="preserve">Score</t>
  </si>
  <si>
    <t xml:space="preserve">Weight</t>
  </si>
  <si>
    <t xml:space="preserve">Weighted Score</t>
  </si>
  <si>
    <t xml:space="preserve">Findings by Severity</t>
  </si>
  <si>
    <t xml:space="preserve">Count</t>
  </si>
  <si>
    <t xml:space="preserve">Score Trajectory (v11-v16)</t>
  </si>
  <si>
    <t xml:space="preserve">Version</t>
  </si>
  <si>
    <t xml:space="preserve">Findings</t>
  </si>
  <si>
    <t xml:space="preserve">v11</t>
  </si>
  <si>
    <t xml:space="preserve">v12</t>
  </si>
  <si>
    <t xml:space="preserve">Deployment Verdict</t>
  </si>
  <si>
    <t xml:space="preserve">Score: 7.8 / 10.0</t>
  </si>
  <si>
    <t xml:space="preserve">Recommendation: CONDITIONAL GO</t>
  </si>
  <si>
    <t xml:space="preserve">Blockers (Must fix):</t>
  </si>
  <si>
    <t xml:space="preserve">• V13-002: localStorage admin role — security vulnerability</t>
  </si>
  <si>
    <t xml:space="preserve">• V13-012: KYC-rejected user completed high-value transaction</t>
  </si>
  <si>
    <t xml:space="preserve">High Priority (Should fix before release):</t>
  </si>
  <si>
    <t xml:space="preserve">• V13-009: Grade badge contradicts slab</t>
  </si>
  <si>
    <t xml:space="preserve">• V14-002: Ohtani card shows Aaron Judge image</t>
  </si>
  <si>
    <t xml:space="preserve">• V13-010: Completed transaction listing still active</t>
  </si>
  <si>
    <t xml:space="preserve">• V13-011: Date mismatch across admin pages</t>
  </si>
  <si>
    <t xml:space="preserve">• V16-001: SPA API regression to 2,572ms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</si>
</sst>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%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ED7D3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6E4F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9.75" hidden="false" customHeight="true" outlineLevel="0" collapsed="false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5" t="s">
        <v>14</v>
      </c>
      <c r="H2" s="4" t="s">
        <v>15</v>
      </c>
    </row>
    <row r="3" customFormat="false" ht="39.75" hidden="false" customHeight="true" outlineLevel="0" collapsed="false">
      <c r="A3" s="6" t="s">
        <v>16</v>
      </c>
      <c r="B3" s="7" t="s">
        <v>17</v>
      </c>
      <c r="C3" s="8" t="s">
        <v>10</v>
      </c>
      <c r="D3" s="8" t="s">
        <v>18</v>
      </c>
      <c r="E3" s="8" t="s">
        <v>19</v>
      </c>
      <c r="F3" s="9" t="s">
        <v>13</v>
      </c>
      <c r="G3" s="9" t="s">
        <v>14</v>
      </c>
      <c r="H3" s="8" t="s">
        <v>20</v>
      </c>
    </row>
    <row r="4" customFormat="false" ht="39.75" hidden="false" customHeight="true" outlineLevel="0" collapsed="false">
      <c r="A4" s="2" t="s">
        <v>21</v>
      </c>
      <c r="B4" s="7" t="s">
        <v>17</v>
      </c>
      <c r="C4" s="4" t="s">
        <v>10</v>
      </c>
      <c r="D4" s="4" t="s">
        <v>22</v>
      </c>
      <c r="E4" s="4" t="s">
        <v>23</v>
      </c>
      <c r="F4" s="5" t="s">
        <v>13</v>
      </c>
      <c r="G4" s="5" t="s">
        <v>14</v>
      </c>
      <c r="H4" s="4" t="s">
        <v>20</v>
      </c>
    </row>
    <row r="5" customFormat="false" ht="39.75" hidden="false" customHeight="true" outlineLevel="0" collapsed="false">
      <c r="A5" s="6" t="s">
        <v>24</v>
      </c>
      <c r="B5" s="7" t="s">
        <v>17</v>
      </c>
      <c r="C5" s="8" t="s">
        <v>10</v>
      </c>
      <c r="D5" s="8" t="s">
        <v>25</v>
      </c>
      <c r="E5" s="8" t="s">
        <v>26</v>
      </c>
      <c r="F5" s="9" t="s">
        <v>13</v>
      </c>
      <c r="G5" s="9" t="s">
        <v>14</v>
      </c>
      <c r="H5" s="8" t="s">
        <v>20</v>
      </c>
    </row>
    <row r="6" customFormat="false" ht="39.75" hidden="false" customHeight="true" outlineLevel="0" collapsed="false">
      <c r="A6" s="2" t="s">
        <v>27</v>
      </c>
      <c r="B6" s="7" t="s">
        <v>17</v>
      </c>
      <c r="C6" s="4" t="s">
        <v>10</v>
      </c>
      <c r="D6" s="4" t="s">
        <v>28</v>
      </c>
      <c r="E6" s="4" t="s">
        <v>29</v>
      </c>
      <c r="F6" s="5" t="s">
        <v>13</v>
      </c>
      <c r="G6" s="5" t="s">
        <v>14</v>
      </c>
      <c r="H6" s="4" t="s">
        <v>20</v>
      </c>
    </row>
    <row r="7" customFormat="false" ht="39.75" hidden="false" customHeight="true" outlineLevel="0" collapsed="false">
      <c r="A7" s="6" t="s">
        <v>30</v>
      </c>
      <c r="B7" s="10" t="s">
        <v>31</v>
      </c>
      <c r="C7" s="8" t="s">
        <v>32</v>
      </c>
      <c r="D7" s="8" t="s">
        <v>33</v>
      </c>
      <c r="E7" s="8" t="s">
        <v>34</v>
      </c>
      <c r="F7" s="9" t="s">
        <v>13</v>
      </c>
      <c r="G7" s="9" t="s">
        <v>14</v>
      </c>
      <c r="H7" s="8" t="s">
        <v>35</v>
      </c>
    </row>
    <row r="8" customFormat="false" ht="39.75" hidden="false" customHeight="true" outlineLevel="0" collapsed="false">
      <c r="A8" s="2" t="s">
        <v>36</v>
      </c>
      <c r="B8" s="7" t="s">
        <v>17</v>
      </c>
      <c r="C8" s="4" t="s">
        <v>10</v>
      </c>
      <c r="D8" s="4" t="s">
        <v>37</v>
      </c>
      <c r="E8" s="4" t="s">
        <v>38</v>
      </c>
      <c r="F8" s="5" t="s">
        <v>13</v>
      </c>
      <c r="G8" s="5" t="s">
        <v>39</v>
      </c>
      <c r="H8" s="4" t="s">
        <v>20</v>
      </c>
    </row>
    <row r="9" customFormat="false" ht="39.75" hidden="false" customHeight="true" outlineLevel="0" collapsed="false">
      <c r="A9" s="6" t="s">
        <v>40</v>
      </c>
      <c r="B9" s="10" t="s">
        <v>31</v>
      </c>
      <c r="C9" s="8" t="s">
        <v>32</v>
      </c>
      <c r="D9" s="8" t="s">
        <v>41</v>
      </c>
      <c r="E9" s="8" t="s">
        <v>42</v>
      </c>
      <c r="F9" s="9" t="s">
        <v>13</v>
      </c>
      <c r="G9" s="9" t="s">
        <v>39</v>
      </c>
      <c r="H9" s="8" t="s">
        <v>35</v>
      </c>
    </row>
    <row r="10" customFormat="false" ht="39.75" hidden="false" customHeight="true" outlineLevel="0" collapsed="false">
      <c r="A10" s="2" t="s">
        <v>43</v>
      </c>
      <c r="B10" s="11" t="s">
        <v>44</v>
      </c>
      <c r="C10" s="4" t="s">
        <v>32</v>
      </c>
      <c r="D10" s="4" t="s">
        <v>45</v>
      </c>
      <c r="E10" s="4" t="s">
        <v>46</v>
      </c>
      <c r="F10" s="5" t="s">
        <v>13</v>
      </c>
      <c r="G10" s="5" t="s">
        <v>47</v>
      </c>
      <c r="H10" s="4" t="s">
        <v>48</v>
      </c>
    </row>
    <row r="11" customFormat="false" ht="39.75" hidden="false" customHeight="true" outlineLevel="0" collapsed="false">
      <c r="A11" s="6" t="s">
        <v>49</v>
      </c>
      <c r="B11" s="11" t="s">
        <v>44</v>
      </c>
      <c r="C11" s="8" t="s">
        <v>32</v>
      </c>
      <c r="D11" s="8" t="s">
        <v>50</v>
      </c>
      <c r="E11" s="8" t="s">
        <v>51</v>
      </c>
      <c r="F11" s="9" t="s">
        <v>13</v>
      </c>
      <c r="G11" s="9" t="s">
        <v>47</v>
      </c>
      <c r="H11" s="8" t="s">
        <v>48</v>
      </c>
    </row>
    <row r="12" customFormat="false" ht="39.75" hidden="false" customHeight="true" outlineLevel="0" collapsed="false">
      <c r="A12" s="2" t="s">
        <v>52</v>
      </c>
      <c r="B12" s="10" t="s">
        <v>31</v>
      </c>
      <c r="C12" s="4" t="s">
        <v>32</v>
      </c>
      <c r="D12" s="4" t="s">
        <v>53</v>
      </c>
      <c r="E12" s="4" t="s">
        <v>54</v>
      </c>
      <c r="F12" s="5" t="s">
        <v>55</v>
      </c>
      <c r="G12" s="5" t="s">
        <v>47</v>
      </c>
      <c r="H12" s="4" t="s">
        <v>35</v>
      </c>
    </row>
    <row r="13" customFormat="false" ht="39.75" hidden="false" customHeight="true" outlineLevel="0" collapsed="false">
      <c r="A13" s="6" t="s">
        <v>56</v>
      </c>
      <c r="B13" s="10" t="s">
        <v>31</v>
      </c>
      <c r="C13" s="8" t="s">
        <v>57</v>
      </c>
      <c r="D13" s="8" t="s">
        <v>58</v>
      </c>
      <c r="E13" s="8" t="s">
        <v>59</v>
      </c>
      <c r="F13" s="9" t="s">
        <v>60</v>
      </c>
      <c r="G13" s="9" t="s">
        <v>61</v>
      </c>
      <c r="H13" s="8" t="s">
        <v>62</v>
      </c>
    </row>
    <row r="14" customFormat="false" ht="39.75" hidden="false" customHeight="true" outlineLevel="0" collapsed="false">
      <c r="A14" s="2" t="s">
        <v>63</v>
      </c>
      <c r="B14" s="11" t="s">
        <v>44</v>
      </c>
      <c r="C14" s="4" t="s">
        <v>64</v>
      </c>
      <c r="D14" s="4" t="s">
        <v>65</v>
      </c>
      <c r="E14" s="4" t="s">
        <v>66</v>
      </c>
      <c r="F14" s="5" t="s">
        <v>60</v>
      </c>
      <c r="G14" s="5" t="s">
        <v>61</v>
      </c>
      <c r="H14" s="4" t="s">
        <v>62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4" min="3" style="0" width="30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0</v>
      </c>
      <c r="B1" s="1" t="s">
        <v>3</v>
      </c>
      <c r="C1" s="1" t="s">
        <v>67</v>
      </c>
      <c r="D1" s="1" t="s">
        <v>68</v>
      </c>
      <c r="E1" s="1" t="s">
        <v>5</v>
      </c>
      <c r="F1" s="1" t="s">
        <v>69</v>
      </c>
    </row>
    <row r="2" customFormat="false" ht="34.5" hidden="false" customHeight="true" outlineLevel="0" collapsed="false">
      <c r="A2" s="12" t="s">
        <v>70</v>
      </c>
      <c r="B2" s="4" t="s">
        <v>71</v>
      </c>
      <c r="C2" s="4" t="s">
        <v>72</v>
      </c>
      <c r="D2" s="4" t="s">
        <v>73</v>
      </c>
      <c r="E2" s="13" t="s">
        <v>74</v>
      </c>
      <c r="F2" s="14" t="s">
        <v>75</v>
      </c>
    </row>
    <row r="3" customFormat="false" ht="34.5" hidden="false" customHeight="true" outlineLevel="0" collapsed="false">
      <c r="A3" s="15" t="s">
        <v>76</v>
      </c>
      <c r="B3" s="8" t="s">
        <v>77</v>
      </c>
      <c r="C3" s="8" t="s">
        <v>78</v>
      </c>
      <c r="D3" s="8" t="s">
        <v>79</v>
      </c>
      <c r="E3" s="13" t="s">
        <v>74</v>
      </c>
      <c r="F3" s="16" t="s">
        <v>75</v>
      </c>
    </row>
    <row r="4" customFormat="false" ht="34.5" hidden="false" customHeight="true" outlineLevel="0" collapsed="false">
      <c r="A4" s="12" t="s">
        <v>80</v>
      </c>
      <c r="B4" s="4" t="s">
        <v>81</v>
      </c>
      <c r="C4" s="4" t="s">
        <v>82</v>
      </c>
      <c r="D4" s="4" t="s">
        <v>83</v>
      </c>
      <c r="E4" s="13" t="s">
        <v>74</v>
      </c>
      <c r="F4" s="14" t="s">
        <v>75</v>
      </c>
    </row>
    <row r="5" customFormat="false" ht="34.5" hidden="false" customHeight="true" outlineLevel="0" collapsed="false">
      <c r="A5" s="15" t="s">
        <v>84</v>
      </c>
      <c r="B5" s="8" t="s">
        <v>85</v>
      </c>
      <c r="C5" s="8" t="s">
        <v>86</v>
      </c>
      <c r="D5" s="8" t="s">
        <v>87</v>
      </c>
      <c r="E5" s="13" t="s">
        <v>74</v>
      </c>
      <c r="F5" s="16" t="s">
        <v>75</v>
      </c>
    </row>
    <row r="6" customFormat="false" ht="34.5" hidden="false" customHeight="true" outlineLevel="0" collapsed="false">
      <c r="A6" s="12" t="s">
        <v>88</v>
      </c>
      <c r="B6" s="4" t="s">
        <v>89</v>
      </c>
      <c r="C6" s="4" t="s">
        <v>90</v>
      </c>
      <c r="D6" s="4" t="s">
        <v>91</v>
      </c>
      <c r="E6" s="13" t="s">
        <v>74</v>
      </c>
      <c r="F6" s="14" t="s">
        <v>75</v>
      </c>
    </row>
    <row r="7" customFormat="false" ht="34.5" hidden="false" customHeight="true" outlineLevel="0" collapsed="false">
      <c r="A7" s="15" t="s">
        <v>8</v>
      </c>
      <c r="B7" s="8" t="s">
        <v>11</v>
      </c>
      <c r="C7" s="8" t="s">
        <v>92</v>
      </c>
      <c r="D7" s="8" t="s">
        <v>13</v>
      </c>
      <c r="E7" s="17" t="s">
        <v>13</v>
      </c>
      <c r="F7" s="9" t="s">
        <v>13</v>
      </c>
    </row>
    <row r="8" customFormat="false" ht="34.5" hidden="false" customHeight="true" outlineLevel="0" collapsed="false">
      <c r="A8" s="12" t="s">
        <v>16</v>
      </c>
      <c r="B8" s="4" t="s">
        <v>18</v>
      </c>
      <c r="C8" s="4" t="s">
        <v>92</v>
      </c>
      <c r="D8" s="4" t="s">
        <v>13</v>
      </c>
      <c r="E8" s="17" t="s">
        <v>13</v>
      </c>
      <c r="F8" s="5" t="s">
        <v>13</v>
      </c>
    </row>
    <row r="9" customFormat="false" ht="34.5" hidden="false" customHeight="true" outlineLevel="0" collapsed="false">
      <c r="A9" s="15" t="s">
        <v>21</v>
      </c>
      <c r="B9" s="8" t="s">
        <v>22</v>
      </c>
      <c r="C9" s="8" t="s">
        <v>92</v>
      </c>
      <c r="D9" s="8" t="s">
        <v>13</v>
      </c>
      <c r="E9" s="17" t="s">
        <v>13</v>
      </c>
      <c r="F9" s="9" t="s">
        <v>13</v>
      </c>
    </row>
    <row r="10" customFormat="false" ht="34.5" hidden="false" customHeight="true" outlineLevel="0" collapsed="false">
      <c r="A10" s="12" t="s">
        <v>24</v>
      </c>
      <c r="B10" s="4" t="s">
        <v>25</v>
      </c>
      <c r="C10" s="4" t="s">
        <v>92</v>
      </c>
      <c r="D10" s="4" t="s">
        <v>13</v>
      </c>
      <c r="E10" s="17" t="s">
        <v>13</v>
      </c>
      <c r="F10" s="5" t="s">
        <v>13</v>
      </c>
    </row>
    <row r="11" customFormat="false" ht="34.5" hidden="false" customHeight="true" outlineLevel="0" collapsed="false">
      <c r="A11" s="15" t="s">
        <v>27</v>
      </c>
      <c r="B11" s="8" t="s">
        <v>28</v>
      </c>
      <c r="C11" s="8" t="s">
        <v>92</v>
      </c>
      <c r="D11" s="8" t="s">
        <v>13</v>
      </c>
      <c r="E11" s="17" t="s">
        <v>13</v>
      </c>
      <c r="F11" s="9" t="s">
        <v>13</v>
      </c>
    </row>
    <row r="12" customFormat="false" ht="34.5" hidden="false" customHeight="true" outlineLevel="0" collapsed="false">
      <c r="A12" s="12" t="s">
        <v>30</v>
      </c>
      <c r="B12" s="4" t="s">
        <v>33</v>
      </c>
      <c r="C12" s="4" t="s">
        <v>92</v>
      </c>
      <c r="D12" s="4" t="s">
        <v>13</v>
      </c>
      <c r="E12" s="17" t="s">
        <v>13</v>
      </c>
      <c r="F12" s="5" t="s">
        <v>13</v>
      </c>
    </row>
    <row r="13" customFormat="false" ht="34.5" hidden="false" customHeight="true" outlineLevel="0" collapsed="false">
      <c r="A13" s="15" t="s">
        <v>36</v>
      </c>
      <c r="B13" s="8" t="s">
        <v>37</v>
      </c>
      <c r="C13" s="8" t="s">
        <v>92</v>
      </c>
      <c r="D13" s="8" t="s">
        <v>13</v>
      </c>
      <c r="E13" s="17" t="s">
        <v>13</v>
      </c>
      <c r="F13" s="9" t="s">
        <v>13</v>
      </c>
    </row>
    <row r="14" customFormat="false" ht="34.5" hidden="false" customHeight="true" outlineLevel="0" collapsed="false">
      <c r="A14" s="12" t="s">
        <v>40</v>
      </c>
      <c r="B14" s="4" t="s">
        <v>41</v>
      </c>
      <c r="C14" s="4" t="s">
        <v>92</v>
      </c>
      <c r="D14" s="4" t="s">
        <v>13</v>
      </c>
      <c r="E14" s="17" t="s">
        <v>13</v>
      </c>
      <c r="F14" s="5" t="s">
        <v>13</v>
      </c>
    </row>
    <row r="15" customFormat="false" ht="34.5" hidden="false" customHeight="true" outlineLevel="0" collapsed="false">
      <c r="A15" s="15" t="s">
        <v>43</v>
      </c>
      <c r="B15" s="8" t="s">
        <v>45</v>
      </c>
      <c r="C15" s="8" t="s">
        <v>92</v>
      </c>
      <c r="D15" s="8" t="s">
        <v>13</v>
      </c>
      <c r="E15" s="17" t="s">
        <v>13</v>
      </c>
      <c r="F15" s="9" t="s">
        <v>13</v>
      </c>
    </row>
    <row r="16" customFormat="false" ht="34.5" hidden="false" customHeight="true" outlineLevel="0" collapsed="false">
      <c r="A16" s="12" t="s">
        <v>49</v>
      </c>
      <c r="B16" s="4" t="s">
        <v>50</v>
      </c>
      <c r="C16" s="4" t="s">
        <v>92</v>
      </c>
      <c r="D16" s="4" t="s">
        <v>13</v>
      </c>
      <c r="E16" s="17" t="s">
        <v>13</v>
      </c>
      <c r="F16" s="5" t="s">
        <v>13</v>
      </c>
    </row>
    <row r="17" customFormat="false" ht="34.5" hidden="false" customHeight="true" outlineLevel="0" collapsed="false">
      <c r="A17" s="15" t="s">
        <v>52</v>
      </c>
      <c r="B17" s="8" t="s">
        <v>53</v>
      </c>
      <c r="C17" s="8" t="s">
        <v>93</v>
      </c>
      <c r="D17" s="8" t="s">
        <v>55</v>
      </c>
      <c r="E17" s="18" t="s">
        <v>55</v>
      </c>
      <c r="F17" s="16" t="s">
        <v>55</v>
      </c>
    </row>
    <row r="18" customFormat="false" ht="34.5" hidden="false" customHeight="true" outlineLevel="0" collapsed="false">
      <c r="A18" s="12" t="s">
        <v>56</v>
      </c>
      <c r="B18" s="4" t="s">
        <v>58</v>
      </c>
      <c r="C18" s="4" t="s">
        <v>94</v>
      </c>
      <c r="D18" s="4" t="s">
        <v>31</v>
      </c>
      <c r="E18" s="19" t="s">
        <v>60</v>
      </c>
      <c r="F18" s="14" t="s">
        <v>60</v>
      </c>
    </row>
    <row r="19" customFormat="false" ht="34.5" hidden="false" customHeight="true" outlineLevel="0" collapsed="false">
      <c r="A19" s="15" t="s">
        <v>63</v>
      </c>
      <c r="B19" s="8" t="s">
        <v>65</v>
      </c>
      <c r="C19" s="8" t="s">
        <v>94</v>
      </c>
      <c r="D19" s="8" t="s">
        <v>44</v>
      </c>
      <c r="E19" s="19" t="s">
        <v>60</v>
      </c>
      <c r="F19" s="1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6" min="5" style="0" width="35"/>
    <col collapsed="false" customWidth="true" hidden="false" outlineLevel="0" max="7" min="7" style="0" width="10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" t="s">
        <v>95</v>
      </c>
      <c r="B1" s="1" t="s">
        <v>2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customFormat="false" ht="49.5" hidden="false" customHeight="true" outlineLevel="0" collapsed="false">
      <c r="A2" s="12" t="s">
        <v>102</v>
      </c>
      <c r="B2" s="20" t="s">
        <v>103</v>
      </c>
      <c r="C2" s="4" t="s">
        <v>104</v>
      </c>
      <c r="D2" s="4" t="s">
        <v>105</v>
      </c>
      <c r="E2" s="4" t="s">
        <v>106</v>
      </c>
      <c r="F2" s="4" t="s">
        <v>107</v>
      </c>
      <c r="G2" s="21" t="s">
        <v>108</v>
      </c>
      <c r="H2" s="5" t="s">
        <v>8</v>
      </c>
    </row>
    <row r="3" customFormat="false" ht="49.5" hidden="false" customHeight="true" outlineLevel="0" collapsed="false">
      <c r="A3" s="15" t="s">
        <v>109</v>
      </c>
      <c r="B3" s="22" t="s">
        <v>103</v>
      </c>
      <c r="C3" s="8" t="s">
        <v>110</v>
      </c>
      <c r="D3" s="8" t="s">
        <v>111</v>
      </c>
      <c r="E3" s="8" t="s">
        <v>112</v>
      </c>
      <c r="F3" s="8" t="s">
        <v>113</v>
      </c>
      <c r="G3" s="23" t="s">
        <v>108</v>
      </c>
      <c r="H3" s="9" t="s">
        <v>8</v>
      </c>
    </row>
    <row r="4" customFormat="false" ht="49.5" hidden="false" customHeight="true" outlineLevel="0" collapsed="false">
      <c r="A4" s="12" t="s">
        <v>114</v>
      </c>
      <c r="B4" s="20" t="s">
        <v>103</v>
      </c>
      <c r="C4" s="4" t="s">
        <v>115</v>
      </c>
      <c r="D4" s="4" t="s">
        <v>116</v>
      </c>
      <c r="E4" s="4" t="s">
        <v>117</v>
      </c>
      <c r="F4" s="4" t="s">
        <v>118</v>
      </c>
      <c r="G4" s="21" t="s">
        <v>119</v>
      </c>
      <c r="H4" s="5" t="s">
        <v>40</v>
      </c>
    </row>
    <row r="5" customFormat="false" ht="49.5" hidden="false" customHeight="true" outlineLevel="0" collapsed="false">
      <c r="A5" s="15" t="s">
        <v>120</v>
      </c>
      <c r="B5" s="22" t="s">
        <v>103</v>
      </c>
      <c r="C5" s="8" t="s">
        <v>121</v>
      </c>
      <c r="D5" s="8" t="s">
        <v>122</v>
      </c>
      <c r="E5" s="8" t="s">
        <v>123</v>
      </c>
      <c r="F5" s="8" t="s">
        <v>124</v>
      </c>
      <c r="G5" s="23" t="s">
        <v>119</v>
      </c>
      <c r="H5" s="9" t="s">
        <v>49</v>
      </c>
    </row>
    <row r="6" customFormat="false" ht="49.5" hidden="false" customHeight="true" outlineLevel="0" collapsed="false">
      <c r="A6" s="12" t="s">
        <v>125</v>
      </c>
      <c r="B6" s="20" t="s">
        <v>103</v>
      </c>
      <c r="C6" s="4" t="s">
        <v>126</v>
      </c>
      <c r="D6" s="4" t="s">
        <v>127</v>
      </c>
      <c r="E6" s="4" t="s">
        <v>128</v>
      </c>
      <c r="F6" s="4" t="s">
        <v>129</v>
      </c>
      <c r="G6" s="21" t="s">
        <v>108</v>
      </c>
      <c r="H6" s="5" t="s">
        <v>8</v>
      </c>
    </row>
    <row r="7" customFormat="false" ht="49.5" hidden="false" customHeight="true" outlineLevel="0" collapsed="false">
      <c r="A7" s="15" t="s">
        <v>130</v>
      </c>
      <c r="B7" s="22" t="s">
        <v>10</v>
      </c>
      <c r="C7" s="8" t="s">
        <v>131</v>
      </c>
      <c r="D7" s="8" t="s">
        <v>132</v>
      </c>
      <c r="E7" s="8" t="s">
        <v>133</v>
      </c>
      <c r="F7" s="8" t="s">
        <v>134</v>
      </c>
      <c r="G7" s="23" t="s">
        <v>108</v>
      </c>
      <c r="H7" s="9" t="s">
        <v>16</v>
      </c>
    </row>
    <row r="8" customFormat="false" ht="49.5" hidden="false" customHeight="true" outlineLevel="0" collapsed="false">
      <c r="A8" s="12" t="s">
        <v>135</v>
      </c>
      <c r="B8" s="20" t="s">
        <v>10</v>
      </c>
      <c r="C8" s="4" t="s">
        <v>136</v>
      </c>
      <c r="D8" s="4" t="s">
        <v>137</v>
      </c>
      <c r="E8" s="4" t="s">
        <v>138</v>
      </c>
      <c r="F8" s="4" t="s">
        <v>139</v>
      </c>
      <c r="G8" s="21" t="s">
        <v>119</v>
      </c>
      <c r="H8" s="5" t="s">
        <v>70</v>
      </c>
    </row>
    <row r="9" customFormat="false" ht="49.5" hidden="false" customHeight="true" outlineLevel="0" collapsed="false">
      <c r="A9" s="15" t="s">
        <v>140</v>
      </c>
      <c r="B9" s="22" t="s">
        <v>10</v>
      </c>
      <c r="C9" s="8" t="s">
        <v>141</v>
      </c>
      <c r="D9" s="8" t="s">
        <v>142</v>
      </c>
      <c r="E9" s="8" t="s">
        <v>143</v>
      </c>
      <c r="F9" s="8" t="s">
        <v>144</v>
      </c>
      <c r="G9" s="23" t="s">
        <v>119</v>
      </c>
      <c r="H9" s="9" t="s">
        <v>24</v>
      </c>
    </row>
    <row r="10" customFormat="false" ht="49.5" hidden="false" customHeight="true" outlineLevel="0" collapsed="false">
      <c r="A10" s="12" t="s">
        <v>145</v>
      </c>
      <c r="B10" s="20" t="s">
        <v>10</v>
      </c>
      <c r="C10" s="4" t="s">
        <v>146</v>
      </c>
      <c r="D10" s="4" t="s">
        <v>147</v>
      </c>
      <c r="E10" s="4" t="s">
        <v>148</v>
      </c>
      <c r="F10" s="4" t="s">
        <v>149</v>
      </c>
      <c r="G10" s="21" t="s">
        <v>119</v>
      </c>
      <c r="H10" s="5" t="s">
        <v>36</v>
      </c>
    </row>
    <row r="11" customFormat="false" ht="49.5" hidden="false" customHeight="true" outlineLevel="0" collapsed="false">
      <c r="A11" s="15" t="s">
        <v>150</v>
      </c>
      <c r="B11" s="22" t="s">
        <v>10</v>
      </c>
      <c r="C11" s="8" t="s">
        <v>151</v>
      </c>
      <c r="D11" s="8" t="s">
        <v>152</v>
      </c>
      <c r="E11" s="8" t="s">
        <v>153</v>
      </c>
      <c r="F11" s="8" t="s">
        <v>154</v>
      </c>
      <c r="G11" s="23" t="s">
        <v>108</v>
      </c>
      <c r="H11" s="9" t="s">
        <v>27</v>
      </c>
    </row>
    <row r="12" customFormat="false" ht="49.5" hidden="false" customHeight="true" outlineLevel="0" collapsed="false">
      <c r="A12" s="12" t="s">
        <v>155</v>
      </c>
      <c r="B12" s="20" t="s">
        <v>156</v>
      </c>
      <c r="C12" s="4" t="s">
        <v>157</v>
      </c>
      <c r="D12" s="4" t="s">
        <v>158</v>
      </c>
      <c r="E12" s="4" t="s">
        <v>159</v>
      </c>
      <c r="F12" s="4" t="s">
        <v>160</v>
      </c>
      <c r="G12" s="21" t="s">
        <v>119</v>
      </c>
      <c r="H12" s="5" t="s">
        <v>21</v>
      </c>
    </row>
    <row r="13" customFormat="false" ht="49.5" hidden="false" customHeight="true" outlineLevel="0" collapsed="false">
      <c r="A13" s="15" t="s">
        <v>161</v>
      </c>
      <c r="B13" s="22" t="s">
        <v>156</v>
      </c>
      <c r="C13" s="8" t="s">
        <v>162</v>
      </c>
      <c r="D13" s="8" t="s">
        <v>163</v>
      </c>
      <c r="E13" s="8" t="s">
        <v>164</v>
      </c>
      <c r="F13" s="8" t="s">
        <v>165</v>
      </c>
      <c r="G13" s="23" t="s">
        <v>166</v>
      </c>
      <c r="H13" s="9" t="s">
        <v>167</v>
      </c>
    </row>
    <row r="14" customFormat="false" ht="49.5" hidden="false" customHeight="true" outlineLevel="0" collapsed="false">
      <c r="A14" s="12" t="s">
        <v>168</v>
      </c>
      <c r="B14" s="20" t="s">
        <v>156</v>
      </c>
      <c r="C14" s="4" t="s">
        <v>169</v>
      </c>
      <c r="D14" s="4" t="s">
        <v>170</v>
      </c>
      <c r="E14" s="4" t="s">
        <v>171</v>
      </c>
      <c r="F14" s="4" t="s">
        <v>172</v>
      </c>
      <c r="G14" s="21" t="s">
        <v>166</v>
      </c>
      <c r="H14" s="5" t="s">
        <v>173</v>
      </c>
    </row>
    <row r="15" customFormat="false" ht="49.5" hidden="false" customHeight="true" outlineLevel="0" collapsed="false">
      <c r="A15" s="15" t="s">
        <v>174</v>
      </c>
      <c r="B15" s="22" t="s">
        <v>156</v>
      </c>
      <c r="C15" s="8" t="s">
        <v>175</v>
      </c>
      <c r="D15" s="8" t="s">
        <v>176</v>
      </c>
      <c r="E15" s="8" t="s">
        <v>177</v>
      </c>
      <c r="F15" s="8" t="s">
        <v>178</v>
      </c>
      <c r="G15" s="23" t="s">
        <v>166</v>
      </c>
      <c r="H15" s="9" t="s">
        <v>179</v>
      </c>
    </row>
    <row r="16" customFormat="false" ht="49.5" hidden="false" customHeight="true" outlineLevel="0" collapsed="false">
      <c r="A16" s="12" t="s">
        <v>180</v>
      </c>
      <c r="B16" s="20" t="s">
        <v>156</v>
      </c>
      <c r="C16" s="4" t="s">
        <v>181</v>
      </c>
      <c r="D16" s="4" t="s">
        <v>182</v>
      </c>
      <c r="E16" s="4" t="s">
        <v>183</v>
      </c>
      <c r="F16" s="4" t="s">
        <v>184</v>
      </c>
      <c r="G16" s="21" t="s">
        <v>166</v>
      </c>
      <c r="H16" s="5" t="s">
        <v>84</v>
      </c>
    </row>
    <row r="17" customFormat="false" ht="49.5" hidden="false" customHeight="true" outlineLevel="0" collapsed="false">
      <c r="A17" s="15" t="s">
        <v>185</v>
      </c>
      <c r="B17" s="22" t="s">
        <v>57</v>
      </c>
      <c r="C17" s="8" t="s">
        <v>186</v>
      </c>
      <c r="D17" s="8" t="s">
        <v>187</v>
      </c>
      <c r="E17" s="8" t="s">
        <v>188</v>
      </c>
      <c r="F17" s="8" t="s">
        <v>189</v>
      </c>
      <c r="G17" s="23" t="s">
        <v>119</v>
      </c>
      <c r="H17" s="9" t="s">
        <v>56</v>
      </c>
    </row>
    <row r="18" customFormat="false" ht="49.5" hidden="false" customHeight="true" outlineLevel="0" collapsed="false">
      <c r="A18" s="12" t="s">
        <v>190</v>
      </c>
      <c r="B18" s="20" t="s">
        <v>57</v>
      </c>
      <c r="C18" s="4" t="s">
        <v>191</v>
      </c>
      <c r="D18" s="4" t="s">
        <v>192</v>
      </c>
      <c r="E18" s="4" t="s">
        <v>193</v>
      </c>
      <c r="F18" s="4" t="s">
        <v>194</v>
      </c>
      <c r="G18" s="21" t="s">
        <v>166</v>
      </c>
      <c r="H18" s="5" t="s">
        <v>56</v>
      </c>
    </row>
    <row r="19" customFormat="false" ht="49.5" hidden="false" customHeight="true" outlineLevel="0" collapsed="false">
      <c r="A19" s="15" t="s">
        <v>195</v>
      </c>
      <c r="B19" s="22" t="s">
        <v>57</v>
      </c>
      <c r="C19" s="8" t="s">
        <v>196</v>
      </c>
      <c r="D19" s="8" t="s">
        <v>197</v>
      </c>
      <c r="E19" s="8" t="s">
        <v>198</v>
      </c>
      <c r="F19" s="8" t="s">
        <v>199</v>
      </c>
      <c r="G19" s="23" t="s">
        <v>108</v>
      </c>
      <c r="H19" s="9" t="s">
        <v>56</v>
      </c>
    </row>
    <row r="20" customFormat="false" ht="49.5" hidden="false" customHeight="true" outlineLevel="0" collapsed="false">
      <c r="A20" s="12" t="s">
        <v>200</v>
      </c>
      <c r="B20" s="20" t="s">
        <v>57</v>
      </c>
      <c r="C20" s="4" t="s">
        <v>201</v>
      </c>
      <c r="D20" s="4" t="s">
        <v>202</v>
      </c>
      <c r="E20" s="4" t="s">
        <v>203</v>
      </c>
      <c r="F20" s="4" t="s">
        <v>204</v>
      </c>
      <c r="G20" s="21" t="s">
        <v>166</v>
      </c>
      <c r="H20" s="5" t="s">
        <v>43</v>
      </c>
    </row>
    <row r="21" customFormat="false" ht="49.5" hidden="false" customHeight="true" outlineLevel="0" collapsed="false">
      <c r="A21" s="15" t="s">
        <v>205</v>
      </c>
      <c r="B21" s="22" t="s">
        <v>57</v>
      </c>
      <c r="C21" s="8" t="s">
        <v>206</v>
      </c>
      <c r="D21" s="8" t="s">
        <v>207</v>
      </c>
      <c r="E21" s="8" t="s">
        <v>208</v>
      </c>
      <c r="F21" s="8" t="s">
        <v>209</v>
      </c>
      <c r="G21" s="23" t="s">
        <v>166</v>
      </c>
      <c r="H21" s="9" t="s">
        <v>43</v>
      </c>
    </row>
    <row r="22" customFormat="false" ht="49.5" hidden="false" customHeight="true" outlineLevel="0" collapsed="false">
      <c r="A22" s="12" t="s">
        <v>210</v>
      </c>
      <c r="B22" s="20" t="s">
        <v>211</v>
      </c>
      <c r="C22" s="4" t="s">
        <v>212</v>
      </c>
      <c r="D22" s="4" t="s">
        <v>213</v>
      </c>
      <c r="E22" s="4" t="s">
        <v>214</v>
      </c>
      <c r="F22" s="4" t="s">
        <v>215</v>
      </c>
      <c r="G22" s="21" t="s">
        <v>166</v>
      </c>
      <c r="H22" s="5" t="s">
        <v>88</v>
      </c>
    </row>
    <row r="23" customFormat="false" ht="49.5" hidden="false" customHeight="true" outlineLevel="0" collapsed="false">
      <c r="A23" s="15" t="s">
        <v>216</v>
      </c>
      <c r="B23" s="22" t="s">
        <v>211</v>
      </c>
      <c r="C23" s="8" t="s">
        <v>217</v>
      </c>
      <c r="D23" s="8" t="s">
        <v>218</v>
      </c>
      <c r="E23" s="8" t="s">
        <v>219</v>
      </c>
      <c r="F23" s="8" t="s">
        <v>220</v>
      </c>
      <c r="G23" s="23" t="s">
        <v>166</v>
      </c>
      <c r="H23" s="9" t="s">
        <v>221</v>
      </c>
    </row>
    <row r="24" customFormat="false" ht="49.5" hidden="false" customHeight="true" outlineLevel="0" collapsed="false">
      <c r="A24" s="12" t="s">
        <v>222</v>
      </c>
      <c r="B24" s="20" t="s">
        <v>211</v>
      </c>
      <c r="C24" s="4" t="s">
        <v>223</v>
      </c>
      <c r="D24" s="4" t="s">
        <v>224</v>
      </c>
      <c r="E24" s="4" t="s">
        <v>225</v>
      </c>
      <c r="F24" s="4" t="s">
        <v>226</v>
      </c>
      <c r="G24" s="21" t="s">
        <v>119</v>
      </c>
      <c r="H24" s="5" t="s">
        <v>80</v>
      </c>
    </row>
    <row r="25" customFormat="false" ht="49.5" hidden="false" customHeight="true" outlineLevel="0" collapsed="false">
      <c r="A25" s="15" t="s">
        <v>227</v>
      </c>
      <c r="B25" s="22" t="s">
        <v>211</v>
      </c>
      <c r="C25" s="8" t="s">
        <v>228</v>
      </c>
      <c r="D25" s="8" t="s">
        <v>229</v>
      </c>
      <c r="E25" s="8" t="s">
        <v>230</v>
      </c>
      <c r="F25" s="8" t="s">
        <v>231</v>
      </c>
      <c r="G25" s="23" t="s">
        <v>166</v>
      </c>
      <c r="H25" s="9" t="s">
        <v>84</v>
      </c>
    </row>
    <row r="26" customFormat="false" ht="49.5" hidden="false" customHeight="true" outlineLevel="0" collapsed="false">
      <c r="A26" s="12" t="s">
        <v>232</v>
      </c>
      <c r="B26" s="20" t="s">
        <v>211</v>
      </c>
      <c r="C26" s="4" t="s">
        <v>233</v>
      </c>
      <c r="D26" s="4" t="s">
        <v>234</v>
      </c>
      <c r="E26" s="4" t="s">
        <v>235</v>
      </c>
      <c r="F26" s="4" t="s">
        <v>236</v>
      </c>
      <c r="G26" s="21" t="s">
        <v>166</v>
      </c>
      <c r="H26" s="5"/>
    </row>
    <row r="27" customFormat="false" ht="49.5" hidden="false" customHeight="true" outlineLevel="0" collapsed="false">
      <c r="A27" s="15" t="s">
        <v>237</v>
      </c>
      <c r="B27" s="22" t="s">
        <v>238</v>
      </c>
      <c r="C27" s="8" t="s">
        <v>239</v>
      </c>
      <c r="D27" s="8" t="s">
        <v>240</v>
      </c>
      <c r="E27" s="8" t="s">
        <v>241</v>
      </c>
      <c r="F27" s="8" t="s">
        <v>242</v>
      </c>
      <c r="G27" s="23" t="s">
        <v>119</v>
      </c>
      <c r="H27" s="9"/>
    </row>
    <row r="28" customFormat="false" ht="49.5" hidden="false" customHeight="true" outlineLevel="0" collapsed="false">
      <c r="A28" s="12" t="s">
        <v>243</v>
      </c>
      <c r="B28" s="20" t="s">
        <v>238</v>
      </c>
      <c r="C28" s="4" t="s">
        <v>244</v>
      </c>
      <c r="D28" s="4" t="s">
        <v>245</v>
      </c>
      <c r="E28" s="4" t="s">
        <v>246</v>
      </c>
      <c r="F28" s="4" t="s">
        <v>247</v>
      </c>
      <c r="G28" s="21" t="s">
        <v>166</v>
      </c>
      <c r="H28" s="5" t="s">
        <v>76</v>
      </c>
    </row>
    <row r="29" customFormat="false" ht="49.5" hidden="false" customHeight="true" outlineLevel="0" collapsed="false">
      <c r="A29" s="15" t="s">
        <v>248</v>
      </c>
      <c r="B29" s="22" t="s">
        <v>238</v>
      </c>
      <c r="C29" s="8" t="s">
        <v>249</v>
      </c>
      <c r="D29" s="8" t="s">
        <v>250</v>
      </c>
      <c r="E29" s="8" t="s">
        <v>251</v>
      </c>
      <c r="F29" s="8" t="s">
        <v>252</v>
      </c>
      <c r="G29" s="23" t="s">
        <v>166</v>
      </c>
      <c r="H29" s="9"/>
    </row>
    <row r="30" customFormat="false" ht="49.5" hidden="false" customHeight="true" outlineLevel="0" collapsed="false">
      <c r="A30" s="12" t="s">
        <v>253</v>
      </c>
      <c r="B30" s="20" t="s">
        <v>238</v>
      </c>
      <c r="C30" s="4" t="s">
        <v>254</v>
      </c>
      <c r="D30" s="4" t="s">
        <v>255</v>
      </c>
      <c r="E30" s="4" t="s">
        <v>256</v>
      </c>
      <c r="F30" s="4" t="s">
        <v>257</v>
      </c>
      <c r="G30" s="21" t="s">
        <v>166</v>
      </c>
      <c r="H30" s="5" t="s">
        <v>258</v>
      </c>
    </row>
    <row r="31" customFormat="false" ht="49.5" hidden="false" customHeight="true" outlineLevel="0" collapsed="false">
      <c r="A31" s="15" t="s">
        <v>259</v>
      </c>
      <c r="B31" s="22" t="s">
        <v>238</v>
      </c>
      <c r="C31" s="8" t="s">
        <v>260</v>
      </c>
      <c r="D31" s="8" t="s">
        <v>261</v>
      </c>
      <c r="E31" s="8" t="s">
        <v>262</v>
      </c>
      <c r="F31" s="8" t="s">
        <v>263</v>
      </c>
      <c r="G31" s="23" t="s">
        <v>166</v>
      </c>
      <c r="H31" s="9"/>
    </row>
    <row r="32" customFormat="false" ht="49.5" hidden="false" customHeight="true" outlineLevel="0" collapsed="false">
      <c r="A32" s="12" t="s">
        <v>264</v>
      </c>
      <c r="B32" s="20" t="s">
        <v>265</v>
      </c>
      <c r="C32" s="4" t="s">
        <v>266</v>
      </c>
      <c r="D32" s="4" t="s">
        <v>267</v>
      </c>
      <c r="E32" s="4" t="s">
        <v>268</v>
      </c>
      <c r="F32" s="4" t="s">
        <v>269</v>
      </c>
      <c r="G32" s="21" t="s">
        <v>119</v>
      </c>
      <c r="H32" s="5" t="s">
        <v>56</v>
      </c>
    </row>
    <row r="33" customFormat="false" ht="49.5" hidden="false" customHeight="true" outlineLevel="0" collapsed="false">
      <c r="A33" s="15" t="s">
        <v>270</v>
      </c>
      <c r="B33" s="22" t="s">
        <v>265</v>
      </c>
      <c r="C33" s="8" t="s">
        <v>271</v>
      </c>
      <c r="D33" s="8" t="s">
        <v>272</v>
      </c>
      <c r="E33" s="8" t="s">
        <v>273</v>
      </c>
      <c r="F33" s="8" t="s">
        <v>274</v>
      </c>
      <c r="G33" s="23" t="s">
        <v>119</v>
      </c>
      <c r="H33" s="9"/>
    </row>
    <row r="34" customFormat="false" ht="49.5" hidden="false" customHeight="true" outlineLevel="0" collapsed="false">
      <c r="A34" s="12" t="s">
        <v>275</v>
      </c>
      <c r="B34" s="20" t="s">
        <v>265</v>
      </c>
      <c r="C34" s="4" t="s">
        <v>276</v>
      </c>
      <c r="D34" s="4" t="s">
        <v>277</v>
      </c>
      <c r="E34" s="4" t="s">
        <v>278</v>
      </c>
      <c r="F34" s="4" t="s">
        <v>279</v>
      </c>
      <c r="G34" s="21" t="s">
        <v>108</v>
      </c>
      <c r="H34" s="5" t="s">
        <v>8</v>
      </c>
    </row>
    <row r="35" customFormat="false" ht="49.5" hidden="false" customHeight="true" outlineLevel="0" collapsed="false">
      <c r="A35" s="15" t="s">
        <v>280</v>
      </c>
      <c r="B35" s="22" t="s">
        <v>265</v>
      </c>
      <c r="C35" s="8" t="s">
        <v>281</v>
      </c>
      <c r="D35" s="8" t="s">
        <v>282</v>
      </c>
      <c r="E35" s="8" t="s">
        <v>283</v>
      </c>
      <c r="F35" s="8" t="s">
        <v>284</v>
      </c>
      <c r="G35" s="23" t="s">
        <v>119</v>
      </c>
      <c r="H35" s="9" t="s">
        <v>40</v>
      </c>
    </row>
    <row r="36" customFormat="false" ht="49.5" hidden="false" customHeight="true" outlineLevel="0" collapsed="false">
      <c r="A36" s="12" t="s">
        <v>285</v>
      </c>
      <c r="B36" s="20" t="s">
        <v>265</v>
      </c>
      <c r="C36" s="4" t="s">
        <v>286</v>
      </c>
      <c r="D36" s="4" t="s">
        <v>287</v>
      </c>
      <c r="E36" s="4" t="s">
        <v>288</v>
      </c>
      <c r="F36" s="4" t="s">
        <v>289</v>
      </c>
      <c r="G36" s="21" t="s">
        <v>166</v>
      </c>
      <c r="H3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290</v>
      </c>
      <c r="B1" s="1" t="s">
        <v>291</v>
      </c>
      <c r="C1" s="1" t="s">
        <v>292</v>
      </c>
      <c r="D1" s="1" t="s">
        <v>69</v>
      </c>
      <c r="E1" s="1" t="s">
        <v>293</v>
      </c>
      <c r="F1" s="1" t="s">
        <v>5</v>
      </c>
    </row>
    <row r="2" customFormat="false" ht="15" hidden="false" customHeight="false" outlineLevel="0" collapsed="false">
      <c r="A2" s="20" t="s">
        <v>294</v>
      </c>
      <c r="B2" s="24" t="n">
        <v>375</v>
      </c>
      <c r="C2" s="24" t="n">
        <v>379</v>
      </c>
      <c r="D2" s="24" t="n">
        <f aca="false">C2-B2</f>
        <v>4</v>
      </c>
      <c r="E2" s="24" t="n">
        <v>400</v>
      </c>
      <c r="F2" s="25" t="str">
        <f aca="false">IF(C2&lt;=E2,"Met","Not Met")</f>
        <v>Met</v>
      </c>
    </row>
    <row r="3" customFormat="false" ht="15" hidden="false" customHeight="false" outlineLevel="0" collapsed="false">
      <c r="A3" s="22" t="s">
        <v>295</v>
      </c>
      <c r="B3" s="26" t="n">
        <v>505</v>
      </c>
      <c r="C3" s="26" t="n">
        <v>748</v>
      </c>
      <c r="D3" s="26" t="n">
        <f aca="false">C3-B3</f>
        <v>243</v>
      </c>
      <c r="E3" s="26" t="n">
        <v>1000</v>
      </c>
      <c r="F3" s="27" t="str">
        <f aca="false">IF(C3&lt;=E3,"Met","Not Met")</f>
        <v>Met</v>
      </c>
    </row>
    <row r="4" customFormat="false" ht="15" hidden="false" customHeight="false" outlineLevel="0" collapsed="false">
      <c r="A4" s="20" t="s">
        <v>296</v>
      </c>
      <c r="B4" s="24" t="n">
        <v>18</v>
      </c>
      <c r="C4" s="24" t="n">
        <v>18</v>
      </c>
      <c r="D4" s="24" t="n">
        <f aca="false">C4-B4</f>
        <v>0</v>
      </c>
      <c r="E4" s="24" t="n">
        <v>25</v>
      </c>
      <c r="F4" s="25" t="str">
        <f aca="false">IF(C4&lt;=E4,"Met","Not Met")</f>
        <v>Met</v>
      </c>
    </row>
    <row r="5" customFormat="false" ht="15" hidden="false" customHeight="false" outlineLevel="0" collapsed="false">
      <c r="A5" s="22" t="s">
        <v>297</v>
      </c>
      <c r="B5" s="26" t="n">
        <v>809</v>
      </c>
      <c r="C5" s="26" t="n">
        <v>713</v>
      </c>
      <c r="D5" s="26" t="n">
        <f aca="false">C5-B5</f>
        <v>-96</v>
      </c>
      <c r="E5" s="26" t="n">
        <v>800</v>
      </c>
      <c r="F5" s="27" t="str">
        <f aca="false">IF(C5&lt;=E5,"Met","Not Met")</f>
        <v>Met</v>
      </c>
    </row>
    <row r="6" customFormat="false" ht="15" hidden="false" customHeight="false" outlineLevel="0" collapsed="false">
      <c r="A6" s="20" t="s">
        <v>298</v>
      </c>
      <c r="B6" s="24" t="n">
        <v>354</v>
      </c>
      <c r="C6" s="24" t="n">
        <v>390</v>
      </c>
      <c r="D6" s="24" t="n">
        <f aca="false">C6-B6</f>
        <v>36</v>
      </c>
      <c r="E6" s="24" t="n">
        <v>500</v>
      </c>
      <c r="F6" s="25" t="str">
        <f aca="false">IF(C6&lt;=E6,"Met","Not Met")</f>
        <v>Met</v>
      </c>
    </row>
    <row r="7" customFormat="false" ht="15" hidden="false" customHeight="false" outlineLevel="0" collapsed="false">
      <c r="A7" s="22" t="s">
        <v>299</v>
      </c>
      <c r="B7" s="26" t="n">
        <v>1803</v>
      </c>
      <c r="C7" s="26" t="n">
        <v>2572</v>
      </c>
      <c r="D7" s="26" t="n">
        <f aca="false">C7-B7</f>
        <v>769</v>
      </c>
      <c r="E7" s="26" t="n">
        <v>1800</v>
      </c>
      <c r="F7" s="27" t="str">
        <f aca="false">IF(C7&lt;=E7,"Met","Not Met")</f>
        <v>Not Met</v>
      </c>
    </row>
    <row r="8" customFormat="false" ht="15" hidden="false" customHeight="false" outlineLevel="0" collapsed="false">
      <c r="A8" s="20" t="s">
        <v>300</v>
      </c>
      <c r="B8" s="24" t="n">
        <v>397</v>
      </c>
      <c r="C8" s="24" t="n">
        <v>320</v>
      </c>
      <c r="D8" s="24" t="n">
        <f aca="false">C8-B8</f>
        <v>-77</v>
      </c>
      <c r="E8" s="24" t="n">
        <v>400</v>
      </c>
      <c r="F8" s="25" t="str">
        <f aca="false">IF(C8&lt;=E8,"Met","Not Met")</f>
        <v>Met</v>
      </c>
    </row>
    <row r="9" customFormat="false" ht="15" hidden="false" customHeight="false" outlineLevel="0" collapsed="false">
      <c r="A9" s="22" t="s">
        <v>301</v>
      </c>
      <c r="B9" s="26" t="n">
        <v>555</v>
      </c>
      <c r="C9" s="26" t="n">
        <v>363</v>
      </c>
      <c r="D9" s="26" t="n">
        <f aca="false">C9-B9</f>
        <v>-192</v>
      </c>
      <c r="E9" s="26" t="n">
        <v>500</v>
      </c>
      <c r="F9" s="27" t="str">
        <f aca="false">IF(C9&lt;=E9,"Met","Not Met")</f>
        <v>Met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40"/>
    <col collapsed="false" customWidth="true" hidden="false" outlineLevel="0" max="6" min="5" style="0" width="12"/>
  </cols>
  <sheetData>
    <row r="1" customFormat="false" ht="30" hidden="false" customHeight="true" outlineLevel="0" collapsed="false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</row>
    <row r="2" customFormat="false" ht="34.5" hidden="false" customHeight="true" outlineLevel="0" collapsed="false">
      <c r="A2" s="12" t="s">
        <v>308</v>
      </c>
      <c r="B2" s="4" t="s">
        <v>309</v>
      </c>
      <c r="C2" s="4" t="s">
        <v>309</v>
      </c>
      <c r="D2" s="4" t="s">
        <v>309</v>
      </c>
      <c r="E2" s="28" t="s">
        <v>310</v>
      </c>
      <c r="F2" s="28" t="s">
        <v>310</v>
      </c>
    </row>
    <row r="3" customFormat="false" ht="34.5" hidden="false" customHeight="true" outlineLevel="0" collapsed="false">
      <c r="A3" s="15" t="s">
        <v>311</v>
      </c>
      <c r="B3" s="8" t="s">
        <v>312</v>
      </c>
      <c r="C3" s="8" t="s">
        <v>313</v>
      </c>
      <c r="D3" s="8" t="s">
        <v>313</v>
      </c>
      <c r="E3" s="28" t="s">
        <v>310</v>
      </c>
      <c r="F3" s="28" t="s">
        <v>310</v>
      </c>
    </row>
    <row r="4" customFormat="false" ht="34.5" hidden="false" customHeight="true" outlineLevel="0" collapsed="false">
      <c r="A4" s="12" t="s">
        <v>314</v>
      </c>
      <c r="B4" s="4" t="s">
        <v>315</v>
      </c>
      <c r="C4" s="4" t="s">
        <v>316</v>
      </c>
      <c r="D4" s="4" t="s">
        <v>317</v>
      </c>
      <c r="E4" s="28" t="s">
        <v>310</v>
      </c>
      <c r="F4" s="29" t="s">
        <v>318</v>
      </c>
    </row>
    <row r="5" customFormat="false" ht="34.5" hidden="false" customHeight="true" outlineLevel="0" collapsed="false">
      <c r="A5" s="15" t="s">
        <v>319</v>
      </c>
      <c r="B5" s="8" t="s">
        <v>320</v>
      </c>
      <c r="C5" s="8" t="s">
        <v>320</v>
      </c>
      <c r="D5" s="8" t="s">
        <v>320</v>
      </c>
      <c r="E5" s="28" t="s">
        <v>310</v>
      </c>
      <c r="F5" s="28" t="s">
        <v>310</v>
      </c>
    </row>
    <row r="6" customFormat="false" ht="34.5" hidden="false" customHeight="true" outlineLevel="0" collapsed="false">
      <c r="A6" s="12" t="s">
        <v>321</v>
      </c>
      <c r="B6" s="4" t="s">
        <v>322</v>
      </c>
      <c r="C6" s="4" t="s">
        <v>322</v>
      </c>
      <c r="D6" s="4" t="s">
        <v>322</v>
      </c>
      <c r="E6" s="28" t="s">
        <v>310</v>
      </c>
      <c r="F6" s="28" t="s">
        <v>310</v>
      </c>
    </row>
    <row r="7" customFormat="false" ht="34.5" hidden="false" customHeight="true" outlineLevel="0" collapsed="false">
      <c r="A7" s="15" t="s">
        <v>323</v>
      </c>
      <c r="B7" s="8" t="s">
        <v>324</v>
      </c>
      <c r="C7" s="8" t="s">
        <v>324</v>
      </c>
      <c r="D7" s="8" t="s">
        <v>324</v>
      </c>
      <c r="E7" s="28" t="s">
        <v>310</v>
      </c>
      <c r="F7" s="28" t="s">
        <v>310</v>
      </c>
    </row>
    <row r="8" customFormat="false" ht="34.5" hidden="false" customHeight="true" outlineLevel="0" collapsed="false">
      <c r="A8" s="12" t="s">
        <v>325</v>
      </c>
      <c r="B8" s="4" t="s">
        <v>326</v>
      </c>
      <c r="C8" s="4" t="s">
        <v>327</v>
      </c>
      <c r="D8" s="4" t="s">
        <v>327</v>
      </c>
      <c r="E8" s="28" t="s">
        <v>310</v>
      </c>
      <c r="F8" s="28" t="s">
        <v>310</v>
      </c>
    </row>
    <row r="9" customFormat="false" ht="34.5" hidden="false" customHeight="true" outlineLevel="0" collapsed="false">
      <c r="A9" s="15" t="s">
        <v>328</v>
      </c>
      <c r="B9" s="8" t="s">
        <v>329</v>
      </c>
      <c r="C9" s="8" t="s">
        <v>329</v>
      </c>
      <c r="D9" s="8" t="s">
        <v>329</v>
      </c>
      <c r="E9" s="28" t="s">
        <v>310</v>
      </c>
      <c r="F9" s="28" t="s">
        <v>310</v>
      </c>
    </row>
    <row r="10" customFormat="false" ht="34.5" hidden="false" customHeight="true" outlineLevel="0" collapsed="false">
      <c r="A10" s="12" t="s">
        <v>330</v>
      </c>
      <c r="B10" s="4" t="s">
        <v>331</v>
      </c>
      <c r="C10" s="4" t="s">
        <v>331</v>
      </c>
      <c r="D10" s="4" t="s">
        <v>331</v>
      </c>
      <c r="E10" s="28" t="s">
        <v>310</v>
      </c>
      <c r="F10" s="28" t="s">
        <v>310</v>
      </c>
    </row>
    <row r="11" customFormat="false" ht="34.5" hidden="false" customHeight="true" outlineLevel="0" collapsed="false">
      <c r="A11" s="15" t="s">
        <v>332</v>
      </c>
      <c r="B11" s="8" t="s">
        <v>333</v>
      </c>
      <c r="C11" s="8" t="s">
        <v>334</v>
      </c>
      <c r="D11" s="8" t="s">
        <v>335</v>
      </c>
      <c r="E11" s="28" t="s">
        <v>310</v>
      </c>
      <c r="F11" s="28" t="s">
        <v>310</v>
      </c>
    </row>
    <row r="12" customFormat="false" ht="34.5" hidden="false" customHeight="true" outlineLevel="0" collapsed="false">
      <c r="A12" s="12" t="s">
        <v>336</v>
      </c>
      <c r="B12" s="4" t="s">
        <v>337</v>
      </c>
      <c r="C12" s="4" t="s">
        <v>337</v>
      </c>
      <c r="D12" s="4" t="s">
        <v>337</v>
      </c>
      <c r="E12" s="28" t="s">
        <v>310</v>
      </c>
      <c r="F12" s="28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30" t="s">
        <v>338</v>
      </c>
      <c r="B1" s="30"/>
      <c r="C1" s="30"/>
      <c r="D1" s="30"/>
    </row>
    <row r="3" customFormat="false" ht="15" hidden="false" customHeight="false" outlineLevel="0" collapsed="false">
      <c r="A3" s="31" t="s">
        <v>339</v>
      </c>
      <c r="B3" s="32" t="n">
        <v>7.8</v>
      </c>
    </row>
    <row r="4" customFormat="false" ht="15" hidden="false" customHeight="false" outlineLevel="0" collapsed="false">
      <c r="A4" s="33" t="s">
        <v>340</v>
      </c>
      <c r="B4" s="34" t="n">
        <v>7.4</v>
      </c>
    </row>
    <row r="5" customFormat="false" ht="15" hidden="false" customHeight="false" outlineLevel="0" collapsed="false">
      <c r="A5" s="33" t="s">
        <v>341</v>
      </c>
      <c r="B5" s="34" t="n">
        <f aca="false">B3-B4</f>
        <v>0.399999999999999</v>
      </c>
    </row>
    <row r="7" customFormat="false" ht="15" hidden="false" customHeight="false" outlineLevel="0" collapsed="false">
      <c r="A7" s="35" t="s">
        <v>342</v>
      </c>
    </row>
    <row r="8" customFormat="false" ht="15" hidden="false" customHeight="false" outlineLevel="0" collapsed="false">
      <c r="A8" s="36" t="s">
        <v>343</v>
      </c>
      <c r="B8" s="36" t="s">
        <v>344</v>
      </c>
      <c r="C8" s="36" t="s">
        <v>345</v>
      </c>
      <c r="D8" s="36" t="s">
        <v>346</v>
      </c>
    </row>
    <row r="9" customFormat="false" ht="15" hidden="false" customHeight="false" outlineLevel="0" collapsed="false">
      <c r="A9" s="0" t="s">
        <v>57</v>
      </c>
      <c r="B9" s="34" t="n">
        <v>6.5</v>
      </c>
      <c r="C9" s="37" t="n">
        <v>0.25</v>
      </c>
      <c r="D9" s="34" t="n">
        <f aca="false">B9*C9</f>
        <v>1.625</v>
      </c>
    </row>
    <row r="10" customFormat="false" ht="15" hidden="false" customHeight="false" outlineLevel="0" collapsed="false">
      <c r="A10" s="0" t="s">
        <v>103</v>
      </c>
      <c r="B10" s="34" t="n">
        <v>8</v>
      </c>
      <c r="C10" s="37" t="n">
        <v>0.25</v>
      </c>
      <c r="D10" s="34" t="n">
        <f aca="false">B10*C10</f>
        <v>2</v>
      </c>
    </row>
    <row r="11" customFormat="false" ht="15" hidden="false" customHeight="false" outlineLevel="0" collapsed="false">
      <c r="A11" s="0" t="s">
        <v>156</v>
      </c>
      <c r="B11" s="34" t="n">
        <v>7</v>
      </c>
      <c r="C11" s="37" t="n">
        <v>0.2</v>
      </c>
      <c r="D11" s="34" t="n">
        <f aca="false">B11*C11</f>
        <v>1.4</v>
      </c>
    </row>
    <row r="12" customFormat="false" ht="15" hidden="false" customHeight="false" outlineLevel="0" collapsed="false">
      <c r="A12" s="0" t="s">
        <v>211</v>
      </c>
      <c r="B12" s="34" t="n">
        <v>8</v>
      </c>
      <c r="C12" s="37" t="n">
        <v>0.15</v>
      </c>
      <c r="D12" s="34" t="n">
        <f aca="false">B12*C12</f>
        <v>1.2</v>
      </c>
    </row>
    <row r="13" customFormat="false" ht="15" hidden="false" customHeight="false" outlineLevel="0" collapsed="false">
      <c r="A13" s="0" t="s">
        <v>10</v>
      </c>
      <c r="B13" s="34" t="n">
        <v>5.5</v>
      </c>
      <c r="C13" s="37" t="n">
        <v>0.15</v>
      </c>
      <c r="D13" s="34" t="n">
        <f aca="false">B13*C13</f>
        <v>0.825</v>
      </c>
    </row>
    <row r="15" customFormat="false" ht="15" hidden="false" customHeight="false" outlineLevel="0" collapsed="false">
      <c r="A15" s="35" t="s">
        <v>347</v>
      </c>
    </row>
    <row r="16" customFormat="false" ht="15" hidden="false" customHeight="false" outlineLevel="0" collapsed="false">
      <c r="A16" s="36" t="s">
        <v>1</v>
      </c>
      <c r="B16" s="36" t="s">
        <v>348</v>
      </c>
    </row>
    <row r="17" customFormat="false" ht="15" hidden="false" customHeight="false" outlineLevel="0" collapsed="false">
      <c r="A17" s="38" t="s">
        <v>9</v>
      </c>
      <c r="B17" s="39" t="n">
        <f aca="false">COUNTIF('All Findings'!B:B,"CRITICAL")</f>
        <v>1</v>
      </c>
    </row>
    <row r="18" customFormat="false" ht="15" hidden="false" customHeight="false" outlineLevel="0" collapsed="false">
      <c r="A18" s="40" t="s">
        <v>17</v>
      </c>
      <c r="B18" s="39" t="n">
        <f aca="false">COUNTIF('All Findings'!B:B,"HIGH")</f>
        <v>5</v>
      </c>
    </row>
    <row r="19" customFormat="false" ht="15" hidden="false" customHeight="false" outlineLevel="0" collapsed="false">
      <c r="A19" s="41" t="s">
        <v>31</v>
      </c>
      <c r="B19" s="39" t="n">
        <f aca="false">COUNTIF('All Findings'!B:B,"MEDIUM")</f>
        <v>4</v>
      </c>
    </row>
    <row r="20" customFormat="false" ht="15" hidden="false" customHeight="false" outlineLevel="0" collapsed="false">
      <c r="A20" s="42" t="s">
        <v>44</v>
      </c>
      <c r="B20" s="39" t="n">
        <f aca="false">COUNTIF('All Findings'!B:B,"LOW")</f>
        <v>3</v>
      </c>
    </row>
    <row r="22" customFormat="false" ht="15" hidden="false" customHeight="false" outlineLevel="0" collapsed="false">
      <c r="A22" s="35" t="s">
        <v>349</v>
      </c>
    </row>
    <row r="23" customFormat="false" ht="15" hidden="false" customHeight="false" outlineLevel="0" collapsed="false">
      <c r="A23" s="36" t="s">
        <v>350</v>
      </c>
      <c r="B23" s="36" t="s">
        <v>344</v>
      </c>
      <c r="C23" s="36" t="s">
        <v>351</v>
      </c>
    </row>
    <row r="24" customFormat="false" ht="15" hidden="false" customHeight="false" outlineLevel="0" collapsed="false">
      <c r="A24" s="31" t="s">
        <v>352</v>
      </c>
      <c r="B24" s="34" t="n">
        <v>3.2</v>
      </c>
      <c r="C24" s="0" t="n">
        <v>21</v>
      </c>
    </row>
    <row r="25" customFormat="false" ht="15" hidden="false" customHeight="false" outlineLevel="0" collapsed="false">
      <c r="A25" s="31" t="s">
        <v>353</v>
      </c>
      <c r="B25" s="34" t="n">
        <v>4.8</v>
      </c>
      <c r="C25" s="0" t="n">
        <v>21</v>
      </c>
    </row>
    <row r="26" customFormat="false" ht="15" hidden="false" customHeight="false" outlineLevel="0" collapsed="false">
      <c r="A26" s="31" t="s">
        <v>14</v>
      </c>
      <c r="B26" s="34" t="n">
        <v>5.4</v>
      </c>
      <c r="C26" s="0" t="n">
        <v>20</v>
      </c>
    </row>
    <row r="27" customFormat="false" ht="15" hidden="false" customHeight="false" outlineLevel="0" collapsed="false">
      <c r="A27" s="31" t="s">
        <v>39</v>
      </c>
      <c r="B27" s="34" t="n">
        <v>6.2</v>
      </c>
      <c r="C27" s="0" t="n">
        <v>21</v>
      </c>
    </row>
    <row r="28" customFormat="false" ht="15" hidden="false" customHeight="false" outlineLevel="0" collapsed="false">
      <c r="A28" s="31" t="s">
        <v>47</v>
      </c>
      <c r="B28" s="34" t="n">
        <v>7.4</v>
      </c>
      <c r="C28" s="0" t="n">
        <v>16</v>
      </c>
    </row>
    <row r="29" customFormat="false" ht="15" hidden="false" customHeight="false" outlineLevel="0" collapsed="false">
      <c r="A29" s="31" t="s">
        <v>61</v>
      </c>
      <c r="B29" s="34" t="n">
        <v>7.8</v>
      </c>
      <c r="C29" s="0" t="n">
        <v>13</v>
      </c>
    </row>
    <row r="31" customFormat="false" ht="15" hidden="false" customHeight="false" outlineLevel="0" collapsed="false">
      <c r="A31" s="35" t="s">
        <v>354</v>
      </c>
    </row>
    <row r="32" customFormat="false" ht="15" hidden="false" customHeight="false" outlineLevel="0" collapsed="false">
      <c r="A32" s="33" t="s">
        <v>355</v>
      </c>
    </row>
    <row r="33" customFormat="false" ht="15" hidden="false" customHeight="false" outlineLevel="0" collapsed="false">
      <c r="A33" s="43" t="s">
        <v>356</v>
      </c>
    </row>
    <row r="35" customFormat="false" ht="15" hidden="false" customHeight="false" outlineLevel="0" collapsed="false">
      <c r="A35" s="31" t="s">
        <v>357</v>
      </c>
    </row>
    <row r="36" customFormat="false" ht="24.75" hidden="false" customHeight="true" outlineLevel="0" collapsed="false">
      <c r="A36" s="44" t="s">
        <v>358</v>
      </c>
    </row>
    <row r="37" customFormat="false" ht="24.75" hidden="false" customHeight="true" outlineLevel="0" collapsed="false">
      <c r="A37" s="44" t="s">
        <v>359</v>
      </c>
    </row>
    <row r="38" customFormat="false" ht="24.75" hidden="false" customHeight="true" outlineLevel="0" collapsed="false">
      <c r="A38" s="44"/>
    </row>
    <row r="39" customFormat="false" ht="24.75" hidden="false" customHeight="true" outlineLevel="0" collapsed="false">
      <c r="A39" s="45" t="s">
        <v>360</v>
      </c>
    </row>
    <row r="40" customFormat="false" ht="24.75" hidden="false" customHeight="true" outlineLevel="0" collapsed="false">
      <c r="A40" s="44" t="s">
        <v>361</v>
      </c>
    </row>
    <row r="41" customFormat="false" ht="24.75" hidden="false" customHeight="true" outlineLevel="0" collapsed="false">
      <c r="A41" s="44" t="s">
        <v>362</v>
      </c>
    </row>
    <row r="42" customFormat="false" ht="24.75" hidden="false" customHeight="true" outlineLevel="0" collapsed="false">
      <c r="A42" s="44" t="s">
        <v>363</v>
      </c>
    </row>
    <row r="43" customFormat="false" ht="24.75" hidden="false" customHeight="true" outlineLevel="0" collapsed="false">
      <c r="A43" s="44" t="s">
        <v>364</v>
      </c>
    </row>
    <row r="44" customFormat="false" ht="24.75" hidden="false" customHeight="true" outlineLevel="0" collapsed="false">
      <c r="A44" s="44" t="s">
        <v>365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2026-04-03T15:20:54Z</dcterms:created>
  <dc:creator>openpyxl</dc:creator>
  <dc:description/>
  <dc:language>en-US</dc:language>
  <cp:lastModifiedBy/>
  <dcterms:modified xsi:type="dcterms:W3CDTF">2026-04-03T15:20:54Z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