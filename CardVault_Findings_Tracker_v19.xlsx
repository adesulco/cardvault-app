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Findings" sheetId="1" state="visible" r:id="rId1"/>
    <sheet xmlns:r="http://schemas.openxmlformats.org/officeDocument/2006/relationships" name="Dev Report Verification" sheetId="2" state="visible" r:id="rId2"/>
    <sheet xmlns:r="http://schemas.openxmlformats.org/officeDocument/2006/relationships" name="V18 vs V19 Comparison" sheetId="3" state="visible" r:id="rId3"/>
    <sheet xmlns:r="http://schemas.openxmlformats.org/officeDocument/2006/relationships" name="Test Cases" sheetId="4" state="visible" r:id="rId4"/>
    <sheet xmlns:r="http://schemas.openxmlformats.org/officeDocument/2006/relationships" name="Performance Benchmark" sheetId="5" state="visible" r:id="rId5"/>
    <sheet xmlns:r="http://schemas.openxmlformats.org/officeDocument/2006/relationships" name="Security Headers" sheetId="6" state="visible" r:id="rId6"/>
    <sheet xmlns:r="http://schemas.openxmlformats.org/officeDocument/2006/relationships" name="Summary Dashboard" sheetId="7" state="visible" r:id="rId7"/>
  </sheets>
  <definedNames>
    <definedName name="_xlnm._FilterDatabase" localSheetId="0" hidden="1">'All Findings'!$A$1:$J$22</definedName>
    <definedName name="_xlnm._FilterDatabase" localSheetId="2" hidden="1">'V18 vs V19 Comparison'!$A$1:$E$22</definedName>
    <definedName name="_xlnm._FilterDatabase" localSheetId="3" hidden="1">'Test Cases'!$A$1:$H$42</definedName>
    <definedName name="_xlnm._FilterDatabase" localSheetId="4" hidden="1">'Performance Benchmark'!$A$1:$J$13</definedName>
    <definedName name="_xlnm._FilterDatabase" localSheetId="5" hidden="1">'Security Headers'!$A$1:$E$11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b val="1"/>
      <sz val="14"/>
    </font>
    <font>
      <name val="Arial"/>
      <b val="1"/>
      <sz val="12"/>
    </font>
    <font>
      <name val="Arial"/>
      <b val="1"/>
      <color rgb="00FF0000"/>
      <sz val="14"/>
    </font>
  </fonts>
  <fills count="9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CCC"/>
        <bgColor rgb="00FFCCCC"/>
      </patternFill>
    </fill>
    <fill>
      <patternFill patternType="solid">
        <fgColor rgb="00FFE0CC"/>
        <bgColor rgb="00FFE0CC"/>
      </patternFill>
    </fill>
    <fill>
      <patternFill patternType="solid">
        <fgColor rgb="00FFFFCC"/>
        <bgColor rgb="00FFFFCC"/>
      </patternFill>
    </fill>
    <fill>
      <patternFill patternType="solid">
        <fgColor rgb="00CCFFCC"/>
        <bgColor rgb="00CCFFCC"/>
      </patternFill>
    </fill>
    <fill>
      <patternFill patternType="solid">
        <fgColor rgb="00E0E0E0"/>
        <bgColor rgb="00E0E0E0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left" vertical="top" wrapText="1"/>
    </xf>
    <xf numFmtId="0" fontId="3" fillId="0" borderId="1" pivotButton="0" quotePrefix="0" xfId="0"/>
    <xf numFmtId="0" fontId="2" fillId="0" borderId="1" pivotButton="0" quotePrefix="0" xfId="0"/>
    <xf numFmtId="0" fontId="2" fillId="8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top"/>
    </xf>
    <xf numFmtId="0" fontId="5" fillId="0" borderId="0" pivotButton="0" quotePrefix="0" xfId="0"/>
    <xf numFmtId="0" fontId="1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 wrapText="1"/>
    </xf>
    <xf numFmtId="0" fontId="6" fillId="3" borderId="0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3" fillId="0" borderId="0" pivotButton="0" quotePrefix="0" xfId="0"/>
    <xf numFmtId="0" fontId="3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5" customWidth="1" min="4" max="4"/>
    <col width="25" customWidth="1" min="5" max="5"/>
    <col width="12" customWidth="1" min="6" max="6"/>
    <col width="35" customWidth="1" min="7" max="7"/>
    <col width="35" customWidth="1" min="8" max="8"/>
    <col width="12" customWidth="1" min="9" max="9"/>
    <col width="35" customWidth="1" min="10" max="10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Severity</t>
        </is>
      </c>
      <c r="D1" s="1" t="inlineStr">
        <is>
          <t>Category</t>
        </is>
      </c>
      <c r="E1" s="1" t="inlineStr">
        <is>
          <t>Status</t>
        </is>
      </c>
      <c r="F1" s="1" t="inlineStr">
        <is>
          <t>First Found</t>
        </is>
      </c>
      <c r="G1" s="1" t="inlineStr">
        <is>
          <t>Dev Claim (v18)</t>
        </is>
      </c>
      <c r="H1" s="1" t="inlineStr">
        <is>
          <t>V19 Reality</t>
        </is>
      </c>
      <c r="I1" s="1" t="inlineStr">
        <is>
          <t>False Claim Count</t>
        </is>
      </c>
      <c r="J1" s="1" t="inlineStr">
        <is>
          <t>Recommendation</t>
        </is>
      </c>
    </row>
    <row r="2">
      <c r="A2" s="2" t="inlineStr">
        <is>
          <t>V13-002</t>
        </is>
      </c>
      <c r="B2" s="2" t="inlineStr">
        <is>
          <t>Admin Role Stored in localStorage</t>
        </is>
      </c>
      <c r="C2" s="2" t="inlineStr">
        <is>
          <t>CRITICAL</t>
        </is>
      </c>
      <c r="D2" s="2" t="inlineStr">
        <is>
          <t>Security</t>
        </is>
      </c>
      <c r="E2" s="2" t="inlineStr">
        <is>
          <t>OPEN</t>
        </is>
      </c>
      <c r="F2" s="2" t="inlineStr">
        <is>
          <t>v13</t>
        </is>
      </c>
      <c r="G2" s="2" t="inlineStr">
        <is>
          <t>localStorage dump confirms Zero presence of isAdmin. Forced active purge on Zustand hydration.</t>
        </is>
      </c>
      <c r="H2" s="2" t="inlineStr">
        <is>
          <t>NOT FIXED — localStorage still contains cardvault-auth-storage with isAdmin:true, userRole:ADMIN. Also cardvault_user with isAdmin:true and cv_session token. Zustand partialize NOT working.</t>
        </is>
      </c>
      <c r="I2" s="2" t="n">
        <v>4</v>
      </c>
      <c r="J2" s="2" t="inlineStr">
        <is>
          <t>IMMEDIATE: Remove ALL role/permission data from client storage. Admin authorization MUST rely exclusively on server-side HttpOnly cookie verification.</t>
        </is>
      </c>
    </row>
    <row r="3">
      <c r="A3" s="3" t="inlineStr">
        <is>
          <t>V13-009</t>
        </is>
      </c>
      <c r="B3" s="3" t="inlineStr">
        <is>
          <t>Grade Badge Contradicts Slab Image</t>
        </is>
      </c>
      <c r="C3" s="3" t="inlineStr">
        <is>
          <t>HIGH</t>
        </is>
      </c>
      <c r="D3" s="3" t="inlineStr">
        <is>
          <t>Data Integrity</t>
        </is>
      </c>
      <c r="E3" s="3" t="inlineStr">
        <is>
          <t>UNVERIFIABLE (DATA LAYER BROKEN)</t>
        </is>
      </c>
      <c r="F3" s="3" t="inlineStr">
        <is>
          <t>v13</t>
        </is>
      </c>
      <c r="G3" s="3" t="inlineStr">
        <is>
          <t>Badge correctly reports PSA 10, matching physically downloaded Wikimedia slab.</t>
        </is>
      </c>
      <c r="H3" s="3" t="inlineStr">
        <is>
          <t>Card detail page stuck on 'Loading asset securely...' — card data API not responding. Cannot verify badge or slab image. Was WORSENED in v18 (PSA badge on UGA slab).</t>
        </is>
      </c>
      <c r="I3" s="3" t="inlineStr"/>
      <c r="J3" s="3" t="inlineStr">
        <is>
          <t>Fix API data layer first, then address PSA vs UGA mismatch.</t>
        </is>
      </c>
    </row>
    <row r="4">
      <c r="A4" s="3" t="inlineStr">
        <is>
          <t>V13-010</t>
        </is>
      </c>
      <c r="B4" s="3" t="inlineStr">
        <is>
          <t>Completed Transaction Listing Still Active</t>
        </is>
      </c>
      <c r="C4" s="3" t="inlineStr">
        <is>
          <t>HIGH</t>
        </is>
      </c>
      <c r="D4" s="3" t="inlineStr">
        <is>
          <t>Data Integrity</t>
        </is>
      </c>
      <c r="E4" s="3" t="inlineStr">
        <is>
          <t>UNVERIFIABLE (API HANGING)</t>
        </is>
      </c>
      <c r="F4" s="3" t="inlineStr">
        <is>
          <t>v13</t>
        </is>
      </c>
      <c r="G4" s="3" t="inlineStr">
        <is>
          <t>Listings Dashboard displays exactly 0 active instances for completed escrows.</t>
        </is>
      </c>
      <c r="H4" s="3" t="inlineStr">
        <is>
          <t>Admin listings API /api/admin/listings stuck in 'pending' state (never resolves). Listings page shows 'Loading listings...' indefinitely. Cannot verify any listing statuses.</t>
        </is>
      </c>
      <c r="I4" s="3" t="inlineStr"/>
      <c r="J4" s="3" t="inlineStr">
        <is>
          <t>Debug Prisma connection pool or serverless function timeout causing API hang.</t>
        </is>
      </c>
    </row>
    <row r="5">
      <c r="A5" s="4" t="inlineStr">
        <is>
          <t>V13-011</t>
        </is>
      </c>
      <c r="B5" s="4" t="inlineStr">
        <is>
          <t>Date Format Inconsistency</t>
        </is>
      </c>
      <c r="C5" s="4" t="inlineStr">
        <is>
          <t>MEDIUM</t>
        </is>
      </c>
      <c r="D5" s="4" t="inlineStr">
        <is>
          <t>UX</t>
        </is>
      </c>
      <c r="E5" s="4" t="inlineStr">
        <is>
          <t>UNVERIFIABLE</t>
        </is>
      </c>
      <c r="F5" s="4" t="inlineStr">
        <is>
          <t>v13</t>
        </is>
      </c>
      <c r="G5" s="4" t="inlineStr">
        <is>
          <t>Intl.DateTimeFormat en-GB formats synchronized uniformly.</t>
        </is>
      </c>
      <c r="H5" s="4" t="inlineStr">
        <is>
          <t>No date data visible on any page — all data-bearing pages show empty or stuck loading.</t>
        </is>
      </c>
      <c r="I5" s="4" t="inlineStr"/>
      <c r="J5" s="4" t="inlineStr">
        <is>
          <t>Defer until data layer is functional.</t>
        </is>
      </c>
    </row>
    <row r="6">
      <c r="A6" s="2" t="inlineStr">
        <is>
          <t>V13-012</t>
        </is>
      </c>
      <c r="B6" s="2" t="inlineStr">
        <is>
          <t>No KYC Enforcement on High-Value Transaction</t>
        </is>
      </c>
      <c r="C6" s="2" t="inlineStr">
        <is>
          <t>CRITICAL</t>
        </is>
      </c>
      <c r="D6" s="2" t="inlineStr">
        <is>
          <t>Compliance</t>
        </is>
      </c>
      <c r="E6" s="2" t="inlineStr">
        <is>
          <t>UNVERIFIABLE (NO DATA)</t>
        </is>
      </c>
      <c r="F6" s="2" t="inlineStr">
        <is>
          <t>v13</t>
        </is>
      </c>
      <c r="G6" s="2" t="inlineStr">
        <is>
          <t>John Collector's Rp25M escrow reflects cancelled status.</t>
        </is>
      </c>
      <c r="H6" s="2" t="inlineStr">
        <is>
          <t>Admin Users page shows '0 total users'. Admin Transactions shows 'All (0)'. Dashboard Recent Users/Transactions widgets are empty. Cannot verify any user or transaction status. The entire data layer appears non-functional.</t>
        </is>
      </c>
      <c r="I6" s="2" t="inlineStr"/>
      <c r="J6" s="2" t="inlineStr">
        <is>
          <t>Fix database connectivity. Then verify John Collector's transaction status and KYC enforcement.</t>
        </is>
      </c>
    </row>
    <row r="7">
      <c r="A7" s="4" t="inlineStr">
        <is>
          <t>V14-002</t>
        </is>
      </c>
      <c r="B7" s="4" t="inlineStr">
        <is>
          <t>Ohtani Card Image Mismatch</t>
        </is>
      </c>
      <c r="C7" s="4" t="inlineStr">
        <is>
          <t>MEDIUM</t>
        </is>
      </c>
      <c r="D7" s="4" t="inlineStr">
        <is>
          <t>Data Integrity</t>
        </is>
      </c>
      <c r="E7" s="4" t="inlineStr">
        <is>
          <t>UNVERIFIABLE (DATA LAYER BROKEN)</t>
        </is>
      </c>
      <c r="F7" s="4" t="inlineStr">
        <is>
          <t>v14</t>
        </is>
      </c>
      <c r="G7" s="4" t="inlineStr">
        <is>
          <t>Explore thumbnail displays Shohei Ohtani via patched Wikimedia HTTPS resource.</t>
        </is>
      </c>
      <c r="H7" s="4" t="inlineStr">
        <is>
          <t>Cannot verify — card detail pages stuck on 'Loading asset securely...' and explore shows 0 cards.</t>
        </is>
      </c>
      <c r="I7" s="4" t="inlineStr"/>
      <c r="J7" s="4" t="inlineStr">
        <is>
          <t>Fix API data layer, then verify image URIs.</t>
        </is>
      </c>
    </row>
    <row r="8">
      <c r="A8" s="4" t="inlineStr">
        <is>
          <t>V14-005</t>
        </is>
      </c>
      <c r="B8" s="4" t="inlineStr">
        <is>
          <t>Admin CORS Missing Admin Domain</t>
        </is>
      </c>
      <c r="C8" s="4" t="inlineStr">
        <is>
          <t>MEDIUM</t>
        </is>
      </c>
      <c r="D8" s="4" t="inlineStr">
        <is>
          <t>Security</t>
        </is>
      </c>
      <c r="E8" s="4" t="inlineStr">
        <is>
          <t>LIKELY OPEN (MIDDLEWARE NOT UPDATED)</t>
        </is>
      </c>
      <c r="F8" s="4" t="inlineStr">
        <is>
          <t>v14</t>
        </is>
      </c>
      <c r="G8" s="4" t="inlineStr">
        <is>
          <t>Network tabs display Access-Control-Allow-Origin: https://admin.cardvault.id.</t>
        </is>
      </c>
      <c r="H8" s="4" t="inlineStr">
        <is>
          <t>Cannot directly capture CORS headers. However, V17-004 and V17-005 still 404 confirming middleware.ts was NOT updated — same file that would contain CORS rules. Claim is almost certainly false.</t>
        </is>
      </c>
      <c r="I8" s="4" t="inlineStr"/>
      <c r="J8" s="4" t="inlineStr">
        <is>
          <t>Deploy actual middleware.ts changes to Vercel.</t>
        </is>
      </c>
    </row>
    <row r="9">
      <c r="A9" s="4" t="inlineStr">
        <is>
          <t>V17-002</t>
        </is>
      </c>
      <c r="B9" s="4" t="inlineStr">
        <is>
          <t>Explore Card Image Placeholders</t>
        </is>
      </c>
      <c r="C9" s="4" t="inlineStr">
        <is>
          <t>MEDIUM</t>
        </is>
      </c>
      <c r="D9" s="4" t="inlineStr">
        <is>
          <t>UX</t>
        </is>
      </c>
      <c r="E9" s="4" t="inlineStr">
        <is>
          <t>SUPERSEDED BY V18-002</t>
        </is>
      </c>
      <c r="F9" s="4" t="inlineStr">
        <is>
          <t>v17</t>
        </is>
      </c>
      <c r="G9" s="4" t="inlineStr"/>
      <c r="H9" s="4" t="inlineStr">
        <is>
          <t>Explore page shows 0 cards entirely — placeholder image issue is moot when no cards render at all.</t>
        </is>
      </c>
      <c r="I9" s="4" t="inlineStr"/>
      <c r="J9" s="4" t="inlineStr">
        <is>
          <t>Fix explore listings API first.</t>
        </is>
      </c>
    </row>
    <row r="10">
      <c r="A10" s="4" t="inlineStr">
        <is>
          <t>V17-004</t>
        </is>
      </c>
      <c r="B10" s="4" t="inlineStr">
        <is>
          <t>Admin /admin/dashboard Returns 404</t>
        </is>
      </c>
      <c r="C10" s="4" t="inlineStr">
        <is>
          <t>MEDIUM</t>
        </is>
      </c>
      <c r="D10" s="4" t="inlineStr">
        <is>
          <t>Functional</t>
        </is>
      </c>
      <c r="E10" s="4" t="inlineStr">
        <is>
          <t>OPEN</t>
        </is>
      </c>
      <c r="F10" s="4" t="inlineStr">
        <is>
          <t>v17</t>
        </is>
      </c>
      <c r="G10" s="4" t="inlineStr">
        <is>
          <t>Direct navigation safely executes a 307 Temporary Redirect onto /admin.</t>
        </is>
      </c>
      <c r="H10" s="4" t="inlineStr">
        <is>
          <t>NOT FIXED — /admin/dashboard returns '404: This page could not be found.' No redirect occurs.</t>
        </is>
      </c>
      <c r="I10" s="4" t="n">
        <v>4</v>
      </c>
      <c r="J10" s="4" t="inlineStr">
        <is>
          <t>Add redirect in middleware.ts or next.config.js.</t>
        </is>
      </c>
    </row>
    <row r="11">
      <c r="A11" s="5" t="inlineStr">
        <is>
          <t>V17-005</t>
        </is>
      </c>
      <c r="B11" s="5" t="inlineStr">
        <is>
          <t>Admin /admin/promo-banners Returns 404</t>
        </is>
      </c>
      <c r="C11" s="5" t="inlineStr">
        <is>
          <t>LOW</t>
        </is>
      </c>
      <c r="D11" s="5" t="inlineStr">
        <is>
          <t>Functional</t>
        </is>
      </c>
      <c r="E11" s="5" t="inlineStr">
        <is>
          <t>OPEN</t>
        </is>
      </c>
      <c r="F11" s="5" t="inlineStr">
        <is>
          <t>v17</t>
        </is>
      </c>
      <c r="G11" s="5" t="inlineStr">
        <is>
          <t>Successfully pushes navigation to /admin/banners.</t>
        </is>
      </c>
      <c r="H11" s="5" t="inlineStr">
        <is>
          <t>NOT FIXED — /admin/promo-banners still returns 404. Correct URL /admin/banners does work.</t>
        </is>
      </c>
      <c r="I11" s="5" t="n">
        <v>4</v>
      </c>
      <c r="J11" s="5" t="inlineStr">
        <is>
          <t>Add redirect: /admin/promo-banners → /admin/banners.</t>
        </is>
      </c>
    </row>
    <row r="12">
      <c r="A12" s="3" t="inlineStr">
        <is>
          <t>V18-001</t>
        </is>
      </c>
      <c r="B12" s="3" t="inlineStr">
        <is>
          <t>Consumer Pages Cause Browser Tab Freeze</t>
        </is>
      </c>
      <c r="C12" s="3" t="inlineStr">
        <is>
          <t>HIGH</t>
        </is>
      </c>
      <c r="D12" s="3" t="inlineStr">
        <is>
          <t>Performance</t>
        </is>
      </c>
      <c r="E12" s="3" t="inlineStr">
        <is>
          <t>OPEN (WORSENED)</t>
        </is>
      </c>
      <c r="F12" s="3" t="inlineStr">
        <is>
          <t>v18</t>
        </is>
      </c>
      <c r="G12" s="3" t="inlineStr">
        <is>
          <t>Extracted logs identified unbounded Prisma connections. System mitigated.</t>
        </is>
      </c>
      <c r="H12" s="3" t="inlineStr">
        <is>
          <t>NOT FIXED — Card detail page freezes renderer (CDP Runtime.evaluate timeout at 45000ms, navigate timeout at 60000ms). Home page also intermittently freezes. WORSENED: now affects card detail pages that were functional in v18.</t>
        </is>
      </c>
      <c r="I12" s="3" t="inlineStr"/>
      <c r="J12" s="3" t="inlineStr">
        <is>
          <t>Audit serverless function cold starts and Prisma connection pooling. Check for synchronous blocking operations.</t>
        </is>
      </c>
    </row>
    <row r="13">
      <c r="A13" s="3" t="inlineStr">
        <is>
          <t>V18-002</t>
        </is>
      </c>
      <c r="B13" s="3" t="inlineStr">
        <is>
          <t>Explore Listings Tab Shows 0 Cards</t>
        </is>
      </c>
      <c r="C13" s="3" t="inlineStr">
        <is>
          <t>HIGH</t>
        </is>
      </c>
      <c r="D13" s="3" t="inlineStr">
        <is>
          <t>Functional</t>
        </is>
      </c>
      <c r="E13" s="3" t="inlineStr">
        <is>
          <t>OPEN</t>
        </is>
      </c>
      <c r="F13" s="3" t="inlineStr">
        <is>
          <t>v18</t>
        </is>
      </c>
      <c r="G13" s="3" t="inlineStr">
        <is>
          <t>Successfully eliminated XHR Promise hangs enabling all Listings onto grids.</t>
        </is>
      </c>
      <c r="H13" s="3" t="inlineStr">
        <is>
          <t>NOT FIXED — Explore page still shows '0 cards found' on all category tabs (Listings, All, etc.). Zero card link elements in DOM. Admin confirms listings exist but API doesn't serve them.</t>
        </is>
      </c>
      <c r="I13" s="3" t="inlineStr"/>
      <c r="J13" s="3" t="inlineStr">
        <is>
          <t>Debug /api/listings endpoint. Check database query and connection pool.</t>
        </is>
      </c>
    </row>
    <row r="14">
      <c r="A14" s="4" t="inlineStr">
        <is>
          <t>V18-003</t>
        </is>
      </c>
      <c r="B14" s="4" t="inlineStr">
        <is>
          <t>Transaction Data Inconsistency</t>
        </is>
      </c>
      <c r="C14" s="4" t="inlineStr">
        <is>
          <t>MEDIUM</t>
        </is>
      </c>
      <c r="D14" s="4" t="inlineStr">
        <is>
          <t>Data Integrity</t>
        </is>
      </c>
      <c r="E14" s="4" t="inlineStr">
        <is>
          <t>WORSENED (NO DATA AT ALL)</t>
        </is>
      </c>
      <c r="F14" s="4" t="inlineStr">
        <is>
          <t>v18</t>
        </is>
      </c>
      <c r="G14" s="4" t="inlineStr">
        <is>
          <t>Data models firmly standardized blocking phantom completion states.</t>
        </is>
      </c>
      <c r="H14" s="4" t="inlineStr">
        <is>
          <t>WORSENED — In v18, dashboard showed data but transactions page didn't. Now NEITHER shows any data. Dashboard widgets empty, transactions All (0), users 0.</t>
        </is>
      </c>
      <c r="I14" s="4" t="inlineStr"/>
      <c r="J14" s="4" t="inlineStr">
        <is>
          <t>Restore database connectivity and data integrity.</t>
        </is>
      </c>
    </row>
    <row r="15">
      <c r="A15" s="2" t="inlineStr">
        <is>
          <t>V19-001</t>
        </is>
      </c>
      <c r="B15" s="2" t="inlineStr">
        <is>
          <t>Admin Listings API Permanently Pending</t>
        </is>
      </c>
      <c r="C15" s="2" t="inlineStr">
        <is>
          <t>CRITICAL</t>
        </is>
      </c>
      <c r="D15" s="2" t="inlineStr">
        <is>
          <t>Functional</t>
        </is>
      </c>
      <c r="E15" s="2" t="inlineStr">
        <is>
          <t>NEW</t>
        </is>
      </c>
      <c r="F15" s="2" t="inlineStr">
        <is>
          <t>v19</t>
        </is>
      </c>
      <c r="G15" s="2" t="inlineStr"/>
      <c r="H15" s="2" t="inlineStr">
        <is>
          <t>GET /api/admin/listings request never resolves — stays in 'pending' status indefinitely. Admin listings page stuck on 'Loading listings...' forever. This blocks all listing management functionality.</t>
        </is>
      </c>
      <c r="I15" s="2" t="inlineStr"/>
      <c r="J15" s="2" t="inlineStr">
        <is>
          <t>Check Vercel serverless function logs for /api/admin/listings. Likely Prisma connection pool exhaustion or unhandled promise. Add request timeout.</t>
        </is>
      </c>
    </row>
    <row r="16">
      <c r="A16" s="2" t="inlineStr">
        <is>
          <t>V19-002</t>
        </is>
      </c>
      <c r="B16" s="2" t="inlineStr">
        <is>
          <t>Admin Users Page Shows 0 Users</t>
        </is>
      </c>
      <c r="C16" s="2" t="inlineStr">
        <is>
          <t>CRITICAL</t>
        </is>
      </c>
      <c r="D16" s="2" t="inlineStr">
        <is>
          <t>Functional</t>
        </is>
      </c>
      <c r="E16" s="2" t="inlineStr">
        <is>
          <t>NEW</t>
        </is>
      </c>
      <c r="F16" s="2" t="inlineStr">
        <is>
          <t>v19</t>
        </is>
      </c>
      <c r="G16" s="2" t="inlineStr"/>
      <c r="H16" s="2" t="inlineStr">
        <is>
          <t>Admin Users page displays '0 total users' despite the platform having registered users (CardVault Official, TokyoCards, John Collector, etc. visible in v18). The users API appears to return empty results.</t>
        </is>
      </c>
      <c r="I16" s="2" t="inlineStr"/>
      <c r="J16" s="2" t="inlineStr">
        <is>
          <t>Debug /api/admin/users endpoint. Check database migration integrity — possible data loss from dev 'remediation scripts'.</t>
        </is>
      </c>
    </row>
    <row r="17">
      <c r="A17" s="3" t="inlineStr">
        <is>
          <t>V19-003</t>
        </is>
      </c>
      <c r="B17" s="3" t="inlineStr">
        <is>
          <t>Home Page TTFB Severe Regression to 2466ms</t>
        </is>
      </c>
      <c r="C17" s="3" t="inlineStr">
        <is>
          <t>HIGH</t>
        </is>
      </c>
      <c r="D17" s="3" t="inlineStr">
        <is>
          <t>Performance</t>
        </is>
      </c>
      <c r="E17" s="3" t="inlineStr">
        <is>
          <t>NEW</t>
        </is>
      </c>
      <c r="F17" s="3" t="inlineStr">
        <is>
          <t>v19</t>
        </is>
      </c>
      <c r="G17" s="3" t="inlineStr"/>
      <c r="H17" s="3" t="inlineStr">
        <is>
          <t>Home page TTFB measured at 2466ms — a 6.6x regression from v18 (371ms) and 3.3x worse than v17 (740ms). DOM Complete at 2808ms. This is the worst home page performance recorded across all audit versions.</t>
        </is>
      </c>
      <c r="I17" s="3" t="inlineStr"/>
      <c r="J17" s="3" t="inlineStr">
        <is>
          <t>Profile Vercel edge function. Check for blocking database queries on home page. Implement edge caching.</t>
        </is>
      </c>
    </row>
    <row r="18">
      <c r="A18" s="3" t="inlineStr">
        <is>
          <t>V19-004</t>
        </is>
      </c>
      <c r="B18" s="3" t="inlineStr">
        <is>
          <t>Card Detail Pages Stuck on Loading State</t>
        </is>
      </c>
      <c r="C18" s="3" t="inlineStr">
        <is>
          <t>HIGH</t>
        </is>
      </c>
      <c r="D18" s="3" t="inlineStr">
        <is>
          <t>Functional</t>
        </is>
      </c>
      <c r="E18" s="3" t="inlineStr">
        <is>
          <t>NEW</t>
        </is>
      </c>
      <c r="F18" s="3" t="inlineStr">
        <is>
          <t>v19</t>
        </is>
      </c>
      <c r="G18" s="3" t="inlineStr"/>
      <c r="H18" s="3" t="inlineStr">
        <is>
          <t>Card detail pages (e.g., Black Lotus /explore/21dcebf2...) render the shell but display 'Loading asset securely...' indefinitely. Card data API never responds. TTFB 417ms for page shell, but content never populates.</t>
        </is>
      </c>
      <c r="I18" s="3" t="inlineStr"/>
      <c r="J18" s="3" t="inlineStr">
        <is>
          <t>Debug card detail API endpoint. Same root cause as V19-001 (API layer hanging).</t>
        </is>
      </c>
    </row>
    <row r="19">
      <c r="A19" s="4" t="inlineStr">
        <is>
          <t>V19-005</t>
        </is>
      </c>
      <c r="B19" s="4" t="inlineStr">
        <is>
          <t>Admin Activity Log Returns 404</t>
        </is>
      </c>
      <c r="C19" s="4" t="inlineStr">
        <is>
          <t>MEDIUM</t>
        </is>
      </c>
      <c r="D19" s="4" t="inlineStr">
        <is>
          <t>Functional</t>
        </is>
      </c>
      <c r="E19" s="4" t="inlineStr">
        <is>
          <t>NEW (REGRESSION)</t>
        </is>
      </c>
      <c r="F19" s="4" t="inlineStr">
        <is>
          <t>v19</t>
        </is>
      </c>
      <c r="G19" s="4" t="inlineStr"/>
      <c r="H19" s="4" t="inlineStr">
        <is>
          <t>Navigation to /admin/activity-log returns 404. This page was functional in v15-v18. Route may have been accidentally removed during dev 'remediation scripts'.</t>
        </is>
      </c>
      <c r="I19" s="4" t="inlineStr"/>
      <c r="J19" s="4" t="inlineStr">
        <is>
          <t>Restore activity-log route. Check Next.js pages/app directory for missing file.</t>
        </is>
      </c>
    </row>
    <row r="20">
      <c r="A20" s="4" t="inlineStr">
        <is>
          <t>V19-006</t>
        </is>
      </c>
      <c r="B20" s="4" t="inlineStr">
        <is>
          <t>Admin Banners and Data Pages Stuck Loading</t>
        </is>
      </c>
      <c r="C20" s="4" t="inlineStr">
        <is>
          <t>MEDIUM</t>
        </is>
      </c>
      <c r="D20" s="4" t="inlineStr">
        <is>
          <t>Functional</t>
        </is>
      </c>
      <c r="E20" s="4" t="inlineStr">
        <is>
          <t>NEW</t>
        </is>
      </c>
      <c r="F20" s="4" t="inlineStr">
        <is>
          <t>v19</t>
        </is>
      </c>
      <c r="G20" s="4" t="inlineStr"/>
      <c r="H20" s="4" t="inlineStr">
        <is>
          <t>Multiple admin data pages show infinite loading states: Banners ('Loading banners...'), Listings ('Loading listings...'). This is a systemic API-layer failure affecting all data-fetching endpoints.</t>
        </is>
      </c>
      <c r="I20" s="4" t="inlineStr"/>
      <c r="J20" s="4" t="inlineStr">
        <is>
          <t>Root cause is shared with V19-001 — fix the API/database connectivity layer.</t>
        </is>
      </c>
    </row>
    <row r="21">
      <c r="A21" s="5" t="inlineStr">
        <is>
          <t>V19-007</t>
        </is>
      </c>
      <c r="B21" s="5" t="inlineStr">
        <is>
          <t>Admin Badges API Returns 503</t>
        </is>
      </c>
      <c r="C21" s="5" t="inlineStr">
        <is>
          <t>LOW</t>
        </is>
      </c>
      <c r="D21" s="5" t="inlineStr">
        <is>
          <t>Performance</t>
        </is>
      </c>
      <c r="E21" s="5" t="inlineStr">
        <is>
          <t>NEW</t>
        </is>
      </c>
      <c r="F21" s="5" t="inlineStr">
        <is>
          <t>v19</t>
        </is>
      </c>
      <c r="G21" s="5" t="inlineStr"/>
      <c r="H21" s="5" t="inlineStr">
        <is>
          <t>HEAD request to /api/admin/badges returns 503 Service Unavailable before retrying with GET (200). Indicates intermittent server-side failures.</t>
        </is>
      </c>
      <c r="I21" s="5" t="inlineStr"/>
      <c r="J21" s="5" t="inlineStr">
        <is>
          <t>Check serverless function health. The 503 on HEAD suggests edge function instability.</t>
        </is>
      </c>
    </row>
    <row r="22">
      <c r="A22" s="6" t="inlineStr">
        <is>
          <t>V19-008</t>
        </is>
      </c>
      <c r="B22" s="6" t="inlineStr">
        <is>
          <t>Unverified Admin Features Added</t>
        </is>
      </c>
      <c r="C22" s="6" t="inlineStr">
        <is>
          <t>INFO</t>
        </is>
      </c>
      <c r="D22" s="6" t="inlineStr">
        <is>
          <t>Functional</t>
        </is>
      </c>
      <c r="E22" s="6" t="inlineStr">
        <is>
          <t>NEW</t>
        </is>
      </c>
      <c r="F22" s="6" t="inlineStr">
        <is>
          <t>v19</t>
        </is>
      </c>
      <c r="G22" s="6" t="inlineStr"/>
      <c r="H22" s="6" t="inlineStr">
        <is>
          <t>Two new admin dashboard features appeared: 'Dynamic Escrow Fee Configuration' (with percentage input and Override Fee button) and 'Global Analytics Module @next' (with Connect button). These were not present in v18 and have not been security-reviewed.</t>
        </is>
      </c>
      <c r="I22" s="6" t="inlineStr"/>
      <c r="J22" s="6" t="inlineStr">
        <is>
          <t>Security review new admin features before deployment. Ensure escrow fee changes require confirmation and audit logging.</t>
        </is>
      </c>
    </row>
  </sheetData>
  <autoFilter ref="A1:J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40" customWidth="1" min="3" max="3"/>
    <col width="18" customWidth="1" min="4" max="4"/>
    <col width="40" customWidth="1" min="5" max="5"/>
  </cols>
  <sheetData>
    <row r="1">
      <c r="A1" s="1" t="inlineStr">
        <is>
          <t>#</t>
        </is>
      </c>
      <c r="B1" s="1" t="inlineStr">
        <is>
          <t>Claim ID</t>
        </is>
      </c>
      <c r="C1" s="1" t="inlineStr">
        <is>
          <t>Dev Claim Text</t>
        </is>
      </c>
      <c r="D1" s="1" t="inlineStr">
        <is>
          <t>Verification Status</t>
        </is>
      </c>
      <c r="E1" s="1" t="inlineStr">
        <is>
          <t>Evidence</t>
        </is>
      </c>
    </row>
    <row r="2">
      <c r="A2" t="n">
        <v>1</v>
      </c>
      <c r="B2" t="inlineStr">
        <is>
          <t>V13-002</t>
        </is>
      </c>
      <c r="C2" t="inlineStr">
        <is>
          <t>Zero presence of isAdmin in localStorage</t>
        </is>
      </c>
      <c r="D2" t="inlineStr">
        <is>
          <t>FALSE</t>
        </is>
      </c>
      <c r="E2" t="inlineStr">
        <is>
          <t>isAdmin:true, userRole:ADMIN still present</t>
        </is>
      </c>
    </row>
    <row r="3">
      <c r="A3" s="2" t="n"/>
      <c r="B3" s="2" t="n"/>
      <c r="C3" s="2" t="n"/>
      <c r="D3" s="2" t="n"/>
      <c r="E3" s="2" t="n"/>
    </row>
    <row r="4">
      <c r="A4" s="3" t="n">
        <v>2</v>
      </c>
      <c r="B4" s="3" t="inlineStr">
        <is>
          <t>V13-009</t>
        </is>
      </c>
      <c r="C4" s="3" t="inlineStr">
        <is>
          <t>PSA 10 badge matches Wikimedia slab</t>
        </is>
      </c>
      <c r="D4" s="3" t="inlineStr">
        <is>
          <t>UNVERIFIABLE</t>
        </is>
      </c>
      <c r="E4" s="3" t="inlineStr">
        <is>
          <t>Card detail stuck on Loading</t>
        </is>
      </c>
    </row>
    <row r="5">
      <c r="A5" s="3" t="n">
        <v>3</v>
      </c>
      <c r="B5" s="3" t="inlineStr">
        <is>
          <t>V13-010</t>
        </is>
      </c>
      <c r="C5" s="3" t="inlineStr">
        <is>
          <t>0 active instances for completed escrows</t>
        </is>
      </c>
      <c r="D5" s="3" t="inlineStr">
        <is>
          <t>UNVERIFIABLE</t>
        </is>
      </c>
      <c r="E5" s="3" t="inlineStr">
        <is>
          <t>Admin listings API hanging, never loads</t>
        </is>
      </c>
    </row>
    <row r="6">
      <c r="A6" s="3" t="n">
        <v>4</v>
      </c>
      <c r="B6" s="3" t="inlineStr">
        <is>
          <t>V13-011</t>
        </is>
      </c>
      <c r="C6" s="3" t="inlineStr">
        <is>
          <t>DateTimeFormat en-GB synchronized</t>
        </is>
      </c>
      <c r="D6" s="3" t="inlineStr">
        <is>
          <t>UNVERIFIABLE</t>
        </is>
      </c>
      <c r="E6" s="3" t="inlineStr">
        <is>
          <t>No data visible on any page</t>
        </is>
      </c>
    </row>
    <row r="7">
      <c r="A7" s="2" t="n">
        <v>5</v>
      </c>
      <c r="B7" s="2" t="inlineStr">
        <is>
          <t>V13-012</t>
        </is>
      </c>
      <c r="C7" s="2" t="inlineStr">
        <is>
          <t>John Collector TX cancelled</t>
        </is>
      </c>
      <c r="D7" s="2" t="inlineStr">
        <is>
          <t>FALSE</t>
        </is>
      </c>
      <c r="E7" s="2" t="inlineStr">
        <is>
          <t>Users shows 0, Transactions shows 0 — data layer broken</t>
        </is>
      </c>
    </row>
    <row r="8">
      <c r="A8" s="3" t="n">
        <v>6</v>
      </c>
      <c r="B8" s="3" t="inlineStr">
        <is>
          <t>V14-002</t>
        </is>
      </c>
      <c r="C8" s="3" t="inlineStr">
        <is>
          <t>Ohtani image shows via Wikimedia</t>
        </is>
      </c>
      <c r="D8" s="3" t="inlineStr">
        <is>
          <t>UNVERIFIABLE</t>
        </is>
      </c>
      <c r="E8" s="3" t="inlineStr">
        <is>
          <t>Card detail and explore both non-functional</t>
        </is>
      </c>
    </row>
    <row r="9">
      <c r="A9" s="2" t="n">
        <v>7</v>
      </c>
      <c r="B9" s="2" t="inlineStr">
        <is>
          <t>V14-005</t>
        </is>
      </c>
      <c r="C9" s="2" t="inlineStr">
        <is>
          <t>CORS shows admin.cardvault.id</t>
        </is>
      </c>
      <c r="D9" s="2" t="inlineStr">
        <is>
          <t>FALSE</t>
        </is>
      </c>
      <c r="E9" s="2" t="inlineStr">
        <is>
          <t>Middleware not deployed (V17-004/005 still 404)</t>
        </is>
      </c>
    </row>
    <row r="10">
      <c r="A10" s="2" t="n">
        <v>8</v>
      </c>
      <c r="B10" s="2" t="inlineStr">
        <is>
          <t>V17-004</t>
        </is>
      </c>
      <c r="C10" s="2" t="inlineStr">
        <is>
          <t>307 redirect to /admin</t>
        </is>
      </c>
      <c r="D10" s="2" t="inlineStr">
        <is>
          <t>FALSE</t>
        </is>
      </c>
      <c r="E10" s="2" t="inlineStr">
        <is>
          <t>Still returns 404</t>
        </is>
      </c>
    </row>
    <row r="11">
      <c r="A11" s="2" t="n">
        <v>9</v>
      </c>
      <c r="B11" s="2" t="inlineStr">
        <is>
          <t>V17-005</t>
        </is>
      </c>
      <c r="C11" s="2" t="inlineStr">
        <is>
          <t>Redirect to /admin/banners</t>
        </is>
      </c>
      <c r="D11" s="2" t="inlineStr">
        <is>
          <t>FALSE</t>
        </is>
      </c>
      <c r="E11" s="2" t="inlineStr">
        <is>
          <t>Still returns 404</t>
        </is>
      </c>
    </row>
    <row r="12">
      <c r="A12" s="2" t="n">
        <v>10</v>
      </c>
      <c r="B12" s="2" t="inlineStr">
        <is>
          <t>V18-001</t>
        </is>
      </c>
      <c r="C12" s="2" t="inlineStr">
        <is>
          <t>DOM freezes eliminated</t>
        </is>
      </c>
      <c r="D12" s="2" t="inlineStr">
        <is>
          <t>FALSE</t>
        </is>
      </c>
      <c r="E12" s="2" t="inlineStr">
        <is>
          <t>Card detail causes CDP timeout, navigate timeout</t>
        </is>
      </c>
    </row>
    <row r="13">
      <c r="A13" s="2" t="n">
        <v>11</v>
      </c>
      <c r="B13" s="2" t="inlineStr">
        <is>
          <t>V18-002</t>
        </is>
      </c>
      <c r="C13" s="2" t="inlineStr">
        <is>
          <t>All Listings onto grids</t>
        </is>
      </c>
      <c r="D13" s="2" t="inlineStr">
        <is>
          <t>FALSE</t>
        </is>
      </c>
      <c r="E13" s="2" t="inlineStr">
        <is>
          <t>Still 0 cards found</t>
        </is>
      </c>
    </row>
    <row r="14">
      <c r="A14" s="2" t="n">
        <v>12</v>
      </c>
      <c r="B14" s="2" t="inlineStr">
        <is>
          <t>V18-003</t>
        </is>
      </c>
      <c r="C14" s="2" t="inlineStr">
        <is>
          <t>Data models standardized</t>
        </is>
      </c>
      <c r="D14" s="2" t="inlineStr">
        <is>
          <t>FALSE</t>
        </is>
      </c>
      <c r="E14" s="2" t="inlineStr">
        <is>
          <t>WORSENED — now zero data everywhere</t>
        </is>
      </c>
    </row>
    <row r="15">
      <c r="A15" s="7" t="n"/>
      <c r="B15" s="7" t="n"/>
      <c r="C15" s="7" t="n"/>
      <c r="D15" s="7" t="n"/>
      <c r="E15" s="7" t="n"/>
    </row>
    <row r="16">
      <c r="A16" s="8" t="inlineStr">
        <is>
          <t>ACCURACY SUMMARY</t>
        </is>
      </c>
      <c r="B16" s="8" t="inlineStr"/>
      <c r="C16" s="8" t="inlineStr"/>
      <c r="D16" s="8" t="inlineStr"/>
      <c r="E16" s="8" t="inlineStr"/>
    </row>
    <row r="17">
      <c r="A17" s="8" t="inlineStr">
        <is>
          <t>Total Claims:</t>
        </is>
      </c>
      <c r="B17" s="8" t="n">
        <v>12</v>
      </c>
      <c r="C17" s="8" t="inlineStr"/>
      <c r="D17" s="8" t="inlineStr"/>
      <c r="E17" s="8" t="inlineStr"/>
    </row>
    <row r="18">
      <c r="A18" s="8" t="inlineStr">
        <is>
          <t>Verified TRUE:</t>
        </is>
      </c>
      <c r="B18" s="8" t="n">
        <v>0</v>
      </c>
      <c r="C18" s="8" t="inlineStr"/>
      <c r="D18" s="8" t="inlineStr"/>
      <c r="E18" s="8" t="inlineStr"/>
    </row>
    <row r="19">
      <c r="A19" s="8" t="inlineStr">
        <is>
          <t>Verified FALSE:</t>
        </is>
      </c>
      <c r="B19" s="8" t="n">
        <v>8</v>
      </c>
      <c r="C19" s="8" t="inlineStr"/>
      <c r="D19" s="8" t="inlineStr"/>
      <c r="E19" s="8" t="inlineStr"/>
    </row>
    <row r="20">
      <c r="A20" s="8" t="inlineStr">
        <is>
          <t>Unverifiable:</t>
        </is>
      </c>
      <c r="B20" s="8" t="n">
        <v>3</v>
      </c>
      <c r="C20" s="8" t="inlineStr"/>
      <c r="D20" s="8" t="inlineStr"/>
      <c r="E20" s="8" t="inlineStr"/>
    </row>
    <row r="21">
      <c r="A21" s="7" t="inlineStr">
        <is>
          <t>Accuracy Rate:</t>
        </is>
      </c>
      <c r="B21" s="7">
        <f>COUNTIF(D2:D13,"TRUE")/COUNTA(D2:D13)</f>
        <v/>
      </c>
      <c r="C21" s="7" t="inlineStr"/>
      <c r="D21" s="7" t="inlineStr"/>
      <c r="E21" s="7" t="inlineStr"/>
    </row>
    <row r="22">
      <c r="A22" s="8" t="inlineStr"/>
      <c r="B22" s="8" t="inlineStr"/>
      <c r="C22" s="8" t="inlineStr"/>
      <c r="D22" s="8" t="inlineStr"/>
      <c r="E22" s="8" t="inlineStr"/>
    </row>
    <row r="23">
      <c r="A23" s="8" t="inlineStr">
        <is>
          <t>ACCURACY TREND</t>
        </is>
      </c>
      <c r="B23" s="8" t="inlineStr"/>
      <c r="C23" s="8" t="inlineStr"/>
      <c r="D23" s="8" t="inlineStr"/>
      <c r="E23" s="8" t="inlineStr"/>
    </row>
    <row r="24">
      <c r="A24" s="8" t="inlineStr">
        <is>
          <t>v16:</t>
        </is>
      </c>
      <c r="B24" s="8" t="inlineStr">
        <is>
          <t>33%</t>
        </is>
      </c>
      <c r="C24" s="8" t="inlineStr"/>
      <c r="D24" s="8" t="inlineStr"/>
      <c r="E24" s="8" t="inlineStr"/>
    </row>
    <row r="25">
      <c r="A25" s="8" t="inlineStr">
        <is>
          <t>v17:</t>
        </is>
      </c>
      <c r="B25" s="8" t="inlineStr">
        <is>
          <t>9%</t>
        </is>
      </c>
      <c r="C25" s="8" t="inlineStr"/>
      <c r="D25" s="8" t="inlineStr"/>
      <c r="E25" s="8" t="inlineStr"/>
    </row>
    <row r="26">
      <c r="A26" s="8" t="inlineStr">
        <is>
          <t>v18:</t>
        </is>
      </c>
      <c r="B26" s="8" t="inlineStr">
        <is>
          <t>0%</t>
        </is>
      </c>
      <c r="C26" s="8" t="inlineStr"/>
      <c r="D26" s="8" t="inlineStr"/>
      <c r="E26" s="8" t="inlineStr"/>
    </row>
    <row r="27">
      <c r="A27" s="8" t="inlineStr"/>
      <c r="B27" s="8" t="inlineStr"/>
      <c r="C27" s="8" t="inlineStr"/>
      <c r="D27" s="8" t="inlineStr"/>
      <c r="E27" s="8" t="inlineStr"/>
    </row>
    <row r="28">
      <c r="A28" s="8" t="inlineStr">
        <is>
          <t>Dev Claimed Score:</t>
        </is>
      </c>
      <c r="B28" s="8" t="inlineStr">
        <is>
          <t>10.0/10</t>
        </is>
      </c>
      <c r="C28" s="8" t="inlineStr"/>
      <c r="D28" s="8" t="inlineStr"/>
      <c r="E28" s="8" t="inlineStr"/>
    </row>
    <row r="29">
      <c r="A29" s="8" t="inlineStr">
        <is>
          <t>Actual Score:</t>
        </is>
      </c>
      <c r="B29" s="8" t="inlineStr">
        <is>
          <t>4.2/10</t>
        </is>
      </c>
      <c r="C29" s="8" t="inlineStr"/>
      <c r="D29" s="8" t="inlineStr"/>
      <c r="E29" s="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0" customWidth="1" min="4" max="4"/>
    <col width="15" customWidth="1" min="5" max="5"/>
  </cols>
  <sheetData>
    <row r="1">
      <c r="A1" s="1" t="inlineStr">
        <is>
          <t>Finding ID</t>
        </is>
      </c>
      <c r="B1" s="1" t="inlineStr">
        <is>
          <t>Title</t>
        </is>
      </c>
      <c r="C1" s="1" t="inlineStr">
        <is>
          <t>V18 Status</t>
        </is>
      </c>
      <c r="D1" s="1" t="inlineStr">
        <is>
          <t>V19 Status</t>
        </is>
      </c>
      <c r="E1" s="1" t="inlineStr">
        <is>
          <t>Change</t>
        </is>
      </c>
    </row>
    <row r="2">
      <c r="A2" s="9" t="inlineStr">
        <is>
          <t>V13-002</t>
        </is>
      </c>
      <c r="B2" s="9" t="inlineStr">
        <is>
          <t>Admin Role Stored in localStorage</t>
        </is>
      </c>
      <c r="C2" s="9" t="inlineStr">
        <is>
          <t>OPEN</t>
        </is>
      </c>
      <c r="D2" s="9" t="inlineStr">
        <is>
          <t>OPEN</t>
        </is>
      </c>
      <c r="E2" s="9" t="inlineStr">
        <is>
          <t>UNCHANGED</t>
        </is>
      </c>
    </row>
    <row r="3">
      <c r="A3" s="9" t="inlineStr">
        <is>
          <t>V13-009</t>
        </is>
      </c>
      <c r="B3" s="9" t="inlineStr">
        <is>
          <t>Grade Badge Contradicts Slab Image</t>
        </is>
      </c>
      <c r="C3" s="9" t="inlineStr">
        <is>
          <t>UNVERIFIABLE</t>
        </is>
      </c>
      <c r="D3" s="9" t="inlineStr">
        <is>
          <t>UNVERIFIABLE (DATA LAYER BROKEN)</t>
        </is>
      </c>
      <c r="E3" s="9" t="inlineStr">
        <is>
          <t>UNCHANGED</t>
        </is>
      </c>
    </row>
    <row r="4">
      <c r="A4" s="9" t="inlineStr">
        <is>
          <t>V13-010</t>
        </is>
      </c>
      <c r="B4" s="9" t="inlineStr">
        <is>
          <t>Completed Transaction Listing Still Active</t>
        </is>
      </c>
      <c r="C4" s="9" t="inlineStr">
        <is>
          <t>UNVERIFIABLE</t>
        </is>
      </c>
      <c r="D4" s="9" t="inlineStr">
        <is>
          <t>UNVERIFIABLE (API HANGING)</t>
        </is>
      </c>
      <c r="E4" s="9" t="inlineStr">
        <is>
          <t>UNCHANGED</t>
        </is>
      </c>
    </row>
    <row r="5">
      <c r="A5" s="9" t="inlineStr">
        <is>
          <t>V13-011</t>
        </is>
      </c>
      <c r="B5" s="9" t="inlineStr">
        <is>
          <t>Date Format Inconsistency</t>
        </is>
      </c>
      <c r="C5" s="9" t="inlineStr">
        <is>
          <t>UNVERIFIABLE</t>
        </is>
      </c>
      <c r="D5" s="9" t="inlineStr">
        <is>
          <t>UNVERIFIABLE</t>
        </is>
      </c>
      <c r="E5" s="9" t="inlineStr">
        <is>
          <t>UNCHANGED</t>
        </is>
      </c>
    </row>
    <row r="6">
      <c r="A6" s="9" t="inlineStr">
        <is>
          <t>V13-012</t>
        </is>
      </c>
      <c r="B6" s="9" t="inlineStr">
        <is>
          <t>No KYC Enforcement on High-Value Transaction</t>
        </is>
      </c>
      <c r="C6" s="9" t="inlineStr">
        <is>
          <t>UNVERIFIABLE</t>
        </is>
      </c>
      <c r="D6" s="9" t="inlineStr">
        <is>
          <t>UNVERIFIABLE (NO DATA)</t>
        </is>
      </c>
      <c r="E6" s="9" t="inlineStr">
        <is>
          <t>UNCHANGED</t>
        </is>
      </c>
    </row>
    <row r="7">
      <c r="A7" s="9" t="inlineStr">
        <is>
          <t>V14-002</t>
        </is>
      </c>
      <c r="B7" s="9" t="inlineStr">
        <is>
          <t>Ohtani Card Image Mismatch</t>
        </is>
      </c>
      <c r="C7" s="9" t="inlineStr">
        <is>
          <t>UNVERIFIABLE</t>
        </is>
      </c>
      <c r="D7" s="9" t="inlineStr">
        <is>
          <t>UNVERIFIABLE (DATA LAYER BROKEN)</t>
        </is>
      </c>
      <c r="E7" s="9" t="inlineStr">
        <is>
          <t>UNCHANGED</t>
        </is>
      </c>
    </row>
    <row r="8">
      <c r="A8" s="9" t="inlineStr">
        <is>
          <t>V14-005</t>
        </is>
      </c>
      <c r="B8" s="9" t="inlineStr">
        <is>
          <t>Admin CORS Missing Admin Domain</t>
        </is>
      </c>
      <c r="C8" s="9" t="inlineStr">
        <is>
          <t>OPEN</t>
        </is>
      </c>
      <c r="D8" s="9" t="inlineStr">
        <is>
          <t>LIKELY OPEN (MIDDLEWARE NOT UPDATED)</t>
        </is>
      </c>
      <c r="E8" s="9" t="inlineStr">
        <is>
          <t>UNCHANGED</t>
        </is>
      </c>
    </row>
    <row r="9">
      <c r="A9" s="10" t="inlineStr">
        <is>
          <t>V17-002</t>
        </is>
      </c>
      <c r="B9" s="10" t="inlineStr">
        <is>
          <t>Explore Card Image Placeholders</t>
        </is>
      </c>
      <c r="C9" s="10" t="inlineStr">
        <is>
          <t>OPEN</t>
        </is>
      </c>
      <c r="D9" s="10" t="inlineStr">
        <is>
          <t>SUPERSEDED BY V18-002</t>
        </is>
      </c>
      <c r="E9" s="10" t="inlineStr">
        <is>
          <t>SUPERSEDED</t>
        </is>
      </c>
    </row>
    <row r="10">
      <c r="A10" s="9" t="inlineStr">
        <is>
          <t>V17-004</t>
        </is>
      </c>
      <c r="B10" s="9" t="inlineStr">
        <is>
          <t>Admin /admin/dashboard Returns 404</t>
        </is>
      </c>
      <c r="C10" s="9" t="inlineStr">
        <is>
          <t>OPEN</t>
        </is>
      </c>
      <c r="D10" s="9" t="inlineStr">
        <is>
          <t>OPEN</t>
        </is>
      </c>
      <c r="E10" s="9" t="inlineStr">
        <is>
          <t>UNCHANGED</t>
        </is>
      </c>
    </row>
    <row r="11">
      <c r="A11" s="9" t="inlineStr">
        <is>
          <t>V17-005</t>
        </is>
      </c>
      <c r="B11" s="9" t="inlineStr">
        <is>
          <t>Admin /admin/promo-banners Returns 404</t>
        </is>
      </c>
      <c r="C11" s="9" t="inlineStr">
        <is>
          <t>OPEN</t>
        </is>
      </c>
      <c r="D11" s="9" t="inlineStr">
        <is>
          <t>OPEN</t>
        </is>
      </c>
      <c r="E11" s="9" t="inlineStr">
        <is>
          <t>UNCHANGED</t>
        </is>
      </c>
    </row>
    <row r="12">
      <c r="A12" s="11" t="inlineStr">
        <is>
          <t>V18-001</t>
        </is>
      </c>
      <c r="B12" s="11" t="inlineStr">
        <is>
          <t>Consumer Pages Cause Browser Tab Freeze</t>
        </is>
      </c>
      <c r="C12" s="11" t="inlineStr">
        <is>
          <t>OPEN</t>
        </is>
      </c>
      <c r="D12" s="11" t="inlineStr">
        <is>
          <t>OPEN (WORSENED)</t>
        </is>
      </c>
      <c r="E12" s="11" t="inlineStr">
        <is>
          <t>WORSENED</t>
        </is>
      </c>
    </row>
    <row r="13">
      <c r="A13" s="9" t="inlineStr">
        <is>
          <t>V18-002</t>
        </is>
      </c>
      <c r="B13" s="9" t="inlineStr">
        <is>
          <t>Explore Listings Tab Shows 0 Cards</t>
        </is>
      </c>
      <c r="C13" s="9" t="inlineStr">
        <is>
          <t>OPEN</t>
        </is>
      </c>
      <c r="D13" s="9" t="inlineStr">
        <is>
          <t>OPEN</t>
        </is>
      </c>
      <c r="E13" s="9" t="inlineStr">
        <is>
          <t>UNCHANGED</t>
        </is>
      </c>
    </row>
    <row r="14">
      <c r="A14" s="11" t="inlineStr">
        <is>
          <t>V18-003</t>
        </is>
      </c>
      <c r="B14" s="11" t="inlineStr">
        <is>
          <t>Transaction Data Inconsistency</t>
        </is>
      </c>
      <c r="C14" s="11" t="inlineStr">
        <is>
          <t>OPEN</t>
        </is>
      </c>
      <c r="D14" s="11" t="inlineStr">
        <is>
          <t>WORSENED (NO DATA AT ALL)</t>
        </is>
      </c>
      <c r="E14" s="11" t="inlineStr">
        <is>
          <t>WORSENED</t>
        </is>
      </c>
    </row>
    <row r="15">
      <c r="A15" s="12" t="inlineStr">
        <is>
          <t>V19-001</t>
        </is>
      </c>
      <c r="B15" s="12" t="inlineStr">
        <is>
          <t>Admin Listings API Permanently Pending</t>
        </is>
      </c>
      <c r="C15" s="12" t="inlineStr">
        <is>
          <t>NEW</t>
        </is>
      </c>
      <c r="D15" s="12" t="inlineStr">
        <is>
          <t>NEW</t>
        </is>
      </c>
      <c r="E15" s="12" t="inlineStr">
        <is>
          <t>NEW</t>
        </is>
      </c>
    </row>
    <row r="16">
      <c r="A16" s="12" t="inlineStr">
        <is>
          <t>V19-002</t>
        </is>
      </c>
      <c r="B16" s="12" t="inlineStr">
        <is>
          <t>Admin Users Page Shows 0 Users</t>
        </is>
      </c>
      <c r="C16" s="12" t="inlineStr">
        <is>
          <t>NEW</t>
        </is>
      </c>
      <c r="D16" s="12" t="inlineStr">
        <is>
          <t>NEW</t>
        </is>
      </c>
      <c r="E16" s="12" t="inlineStr">
        <is>
          <t>NEW</t>
        </is>
      </c>
    </row>
    <row r="17">
      <c r="A17" s="12" t="inlineStr">
        <is>
          <t>V19-003</t>
        </is>
      </c>
      <c r="B17" s="12" t="inlineStr">
        <is>
          <t>Home Page TTFB Severe Regression to 2466ms</t>
        </is>
      </c>
      <c r="C17" s="12" t="inlineStr">
        <is>
          <t>NEW</t>
        </is>
      </c>
      <c r="D17" s="12" t="inlineStr">
        <is>
          <t>NEW</t>
        </is>
      </c>
      <c r="E17" s="12" t="inlineStr">
        <is>
          <t>NEW</t>
        </is>
      </c>
    </row>
    <row r="18">
      <c r="A18" s="12" t="inlineStr">
        <is>
          <t>V19-004</t>
        </is>
      </c>
      <c r="B18" s="12" t="inlineStr">
        <is>
          <t>Card Detail Pages Stuck on Loading State</t>
        </is>
      </c>
      <c r="C18" s="12" t="inlineStr">
        <is>
          <t>NEW</t>
        </is>
      </c>
      <c r="D18" s="12" t="inlineStr">
        <is>
          <t>NEW</t>
        </is>
      </c>
      <c r="E18" s="12" t="inlineStr">
        <is>
          <t>NEW</t>
        </is>
      </c>
    </row>
    <row r="19">
      <c r="A19" s="12" t="inlineStr">
        <is>
          <t>V19-005</t>
        </is>
      </c>
      <c r="B19" s="12" t="inlineStr">
        <is>
          <t>Admin Activity Log Returns 404</t>
        </is>
      </c>
      <c r="C19" s="12" t="inlineStr">
        <is>
          <t>NEW (REGRESSION)</t>
        </is>
      </c>
      <c r="D19" s="12" t="inlineStr">
        <is>
          <t>NEW (REGRESSION)</t>
        </is>
      </c>
      <c r="E19" s="12" t="inlineStr">
        <is>
          <t>NEW</t>
        </is>
      </c>
    </row>
    <row r="20">
      <c r="A20" s="12" t="inlineStr">
        <is>
          <t>V19-006</t>
        </is>
      </c>
      <c r="B20" s="12" t="inlineStr">
        <is>
          <t>Admin Banners and Data Pages Stuck Loading</t>
        </is>
      </c>
      <c r="C20" s="12" t="inlineStr">
        <is>
          <t>NEW</t>
        </is>
      </c>
      <c r="D20" s="12" t="inlineStr">
        <is>
          <t>NEW</t>
        </is>
      </c>
      <c r="E20" s="12" t="inlineStr">
        <is>
          <t>NEW</t>
        </is>
      </c>
    </row>
    <row r="21">
      <c r="A21" s="12" t="inlineStr">
        <is>
          <t>V19-007</t>
        </is>
      </c>
      <c r="B21" s="12" t="inlineStr">
        <is>
          <t>Admin Badges API Returns 503</t>
        </is>
      </c>
      <c r="C21" s="12" t="inlineStr">
        <is>
          <t>NEW</t>
        </is>
      </c>
      <c r="D21" s="12" t="inlineStr">
        <is>
          <t>NEW</t>
        </is>
      </c>
      <c r="E21" s="12" t="inlineStr">
        <is>
          <t>NEW</t>
        </is>
      </c>
    </row>
    <row r="22">
      <c r="A22" s="12" t="inlineStr">
        <is>
          <t>V19-008</t>
        </is>
      </c>
      <c r="B22" s="12" t="inlineStr">
        <is>
          <t>Unverified Admin Features Added</t>
        </is>
      </c>
      <c r="C22" s="12" t="inlineStr">
        <is>
          <t>NEW</t>
        </is>
      </c>
      <c r="D22" s="12" t="inlineStr">
        <is>
          <t>NEW</t>
        </is>
      </c>
      <c r="E22" s="12" t="inlineStr">
        <is>
          <t>NEW</t>
        </is>
      </c>
    </row>
  </sheetData>
  <autoFilter ref="A1:E2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40" customWidth="1" min="3" max="3"/>
    <col width="35" customWidth="1" min="4" max="4"/>
    <col width="50" customWidth="1" min="5" max="5"/>
    <col width="40" customWidth="1" min="6" max="6"/>
    <col width="8" customWidth="1" min="7" max="7"/>
    <col width="15" customWidth="1" min="8" max="8"/>
  </cols>
  <sheetData>
    <row r="1">
      <c r="A1" s="1" t="inlineStr">
        <is>
          <t>TC-ID</t>
        </is>
      </c>
      <c r="B1" s="1" t="inlineStr">
        <is>
          <t>Finding ID</t>
        </is>
      </c>
      <c r="C1" s="1" t="inlineStr">
        <is>
          <t>Test Case Title</t>
        </is>
      </c>
      <c r="D1" s="1" t="inlineStr">
        <is>
          <t>Precondition</t>
        </is>
      </c>
      <c r="E1" s="1" t="inlineStr">
        <is>
          <t>Steps</t>
        </is>
      </c>
      <c r="F1" s="1" t="inlineStr">
        <is>
          <t>Expected Result</t>
        </is>
      </c>
      <c r="G1" s="1" t="inlineStr">
        <is>
          <t>Priority</t>
        </is>
      </c>
      <c r="H1" s="1" t="inlineStr">
        <is>
          <t>Type</t>
        </is>
      </c>
    </row>
    <row r="2">
      <c r="A2" s="2" t="inlineStr">
        <is>
          <t>TC-001</t>
        </is>
      </c>
      <c r="B2" s="2" t="inlineStr">
        <is>
          <t>V13-002</t>
        </is>
      </c>
      <c r="C2" s="2" t="inlineStr">
        <is>
          <t>Verify localStorage does NOT contain admin role</t>
        </is>
      </c>
      <c r="D2" s="2" t="inlineStr">
        <is>
          <t>Consumer domain loaded, user authenticated</t>
        </is>
      </c>
      <c r="E2" s="2" t="inlineStr">
        <is>
          <t>1. Open DevTools Storage tab
2. Check localStorage cardvault-auth-storage
3. Check cardvault_user key
4. Check cv_session token</t>
        </is>
      </c>
      <c r="F2" s="2" t="inlineStr">
        <is>
          <t>No isAdmin or userRole keys in any localStorage entry. Session tokens only.</t>
        </is>
      </c>
      <c r="G2" s="2" t="inlineStr">
        <is>
          <t>P1</t>
        </is>
      </c>
      <c r="H2" s="2" t="inlineStr">
        <is>
          <t>Security</t>
        </is>
      </c>
    </row>
    <row r="3">
      <c r="A3" s="2" t="inlineStr">
        <is>
          <t>TC-002</t>
        </is>
      </c>
      <c r="B3" s="2" t="inlineStr">
        <is>
          <t>V13-002</t>
        </is>
      </c>
      <c r="C3" s="2" t="inlineStr">
        <is>
          <t>Attempt client-side admin role manipulation</t>
        </is>
      </c>
      <c r="D3" s="2" t="inlineStr">
        <is>
          <t>Consumer domain with DevTools open</t>
        </is>
      </c>
      <c r="E3" s="2" t="inlineStr">
        <is>
          <t>1. In console: localStorage.setItem("cardvault-auth-storage", JSON.stringify({state:{user:{isAdmin:true}}}))
2. Refresh page
3. Attempt to access /admin or admin features</t>
        </is>
      </c>
      <c r="F3" s="2" t="inlineStr">
        <is>
          <t>Admin access DENIED. Client-side role manipulation does not escalate privileges. Server rejects request.</t>
        </is>
      </c>
      <c r="G3" s="2" t="inlineStr">
        <is>
          <t>P1</t>
        </is>
      </c>
      <c r="H3" s="2" t="inlineStr">
        <is>
          <t>Security</t>
        </is>
      </c>
    </row>
    <row r="4">
      <c r="A4" s="2" t="inlineStr">
        <is>
          <t>TC-003</t>
        </is>
      </c>
      <c r="B4" s="2" t="inlineStr">
        <is>
          <t>V13-009</t>
        </is>
      </c>
      <c r="C4" s="2" t="inlineStr">
        <is>
          <t>Verify PSA badge matches slab image on card detail</t>
        </is>
      </c>
      <c r="D4" s="2" t="inlineStr">
        <is>
          <t>Consumer domain, card with PSA grade exists</t>
        </is>
      </c>
      <c r="E4" s="2" t="inlineStr">
        <is>
          <t>1. Navigate to card detail page
2. Wait for page to fully load
3. Verify PSA badge displays
4. Verify slab image matches badge grade</t>
        </is>
      </c>
      <c r="F4" s="2" t="inlineStr">
        <is>
          <t>Page loads successfully. PSA badge (e.g., PSA 10) matches slab image. No contradictions.</t>
        </is>
      </c>
      <c r="G4" s="2" t="inlineStr">
        <is>
          <t>P1</t>
        </is>
      </c>
      <c r="H4" s="2" t="inlineStr">
        <is>
          <t>Functional</t>
        </is>
      </c>
    </row>
    <row r="5">
      <c r="A5" s="3" t="inlineStr">
        <is>
          <t>TC-004</t>
        </is>
      </c>
      <c r="B5" s="3" t="inlineStr">
        <is>
          <t>V13-009</t>
        </is>
      </c>
      <c r="C5" s="3" t="inlineStr">
        <is>
          <t>Verify grade badge loads within timeout</t>
        </is>
      </c>
      <c r="D5" s="3" t="inlineStr">
        <is>
          <t>Consumer domain, slow network (3G throttle)</t>
        </is>
      </c>
      <c r="E5" s="3" t="inlineStr">
        <is>
          <t>1. Throttle network to 3G
2. Navigate to card with PSA badge
3. Monitor load time
4. Verify badge appears within 5s</t>
        </is>
      </c>
      <c r="F5" s="3" t="inlineStr">
        <is>
          <t>Badge loads before DOM complete. No "Loading asset" state persists.</t>
        </is>
      </c>
      <c r="G5" s="3" t="inlineStr">
        <is>
          <t>P2</t>
        </is>
      </c>
      <c r="H5" s="3" t="inlineStr">
        <is>
          <t>Performance</t>
        </is>
      </c>
    </row>
    <row r="6">
      <c r="A6" s="2" t="inlineStr">
        <is>
          <t>TC-005</t>
        </is>
      </c>
      <c r="B6" s="2" t="inlineStr">
        <is>
          <t>V13-010</t>
        </is>
      </c>
      <c r="C6" s="2" t="inlineStr">
        <is>
          <t>Verify admin cannot see completed escrows in active listings</t>
        </is>
      </c>
      <c r="D6" s="2" t="inlineStr">
        <is>
          <t>Admin authenticated, listings page accessible</t>
        </is>
      </c>
      <c r="E6" s="2" t="inlineStr">
        <is>
          <t>1. Navigate to /admin/listings
2. Filter by Status=Completed
3. Verify result count</t>
        </is>
      </c>
      <c r="F6" s="2" t="inlineStr">
        <is>
          <t>No completed escrows appear in active listings tab. Page loads within 3s.</t>
        </is>
      </c>
      <c r="G6" s="2" t="inlineStr">
        <is>
          <t>P1</t>
        </is>
      </c>
      <c r="H6" s="2" t="inlineStr">
        <is>
          <t>Functional</t>
        </is>
      </c>
    </row>
    <row r="7">
      <c r="A7" s="2" t="inlineStr">
        <is>
          <t>TC-006</t>
        </is>
      </c>
      <c r="B7" s="2" t="inlineStr">
        <is>
          <t>V13-010</t>
        </is>
      </c>
      <c r="C7" s="2" t="inlineStr">
        <is>
          <t>Verify /api/admin/listings responds within timeout</t>
        </is>
      </c>
      <c r="D7" s="2" t="inlineStr">
        <is>
          <t>Admin domain with network monitoring</t>
        </is>
      </c>
      <c r="E7" s="2" t="inlineStr">
        <is>
          <t>1. Open network tab
2. Navigate to /admin/listings
3. Monitor request to /api/admin/listings
4. Record response time</t>
        </is>
      </c>
      <c r="F7" s="2" t="inlineStr">
        <is>
          <t>GET /api/admin/listings completes within 5s. Status 200. Response contains valid listing objects.</t>
        </is>
      </c>
      <c r="G7" s="2" t="inlineStr">
        <is>
          <t>P1</t>
        </is>
      </c>
      <c r="H7" s="2" t="inlineStr">
        <is>
          <t>Performance</t>
        </is>
      </c>
    </row>
    <row r="8">
      <c r="A8" s="3" t="inlineStr">
        <is>
          <t>TC-007</t>
        </is>
      </c>
      <c r="B8" s="3" t="inlineStr">
        <is>
          <t>V13-011</t>
        </is>
      </c>
      <c r="C8" s="3" t="inlineStr">
        <is>
          <t>Verify all dates use consistent en-GB format</t>
        </is>
      </c>
      <c r="D8" s="3" t="inlineStr">
        <is>
          <t>Consumer domain with transaction data visible</t>
        </is>
      </c>
      <c r="E8" s="3" t="inlineStr">
        <is>
          <t>1. Navigate to profile &gt; transactions
2. Collect all displayed dates
3. Verify all dates follow DD/MM/YYYY format</t>
        </is>
      </c>
      <c r="F8" s="3" t="inlineStr">
        <is>
          <t>All dates consistently formatted as DD/MM/YYYY (e.g., 04/04/2026).</t>
        </is>
      </c>
      <c r="G8" s="3" t="inlineStr">
        <is>
          <t>P2</t>
        </is>
      </c>
      <c r="H8" s="3" t="inlineStr">
        <is>
          <t>UX</t>
        </is>
      </c>
    </row>
    <row r="9">
      <c r="A9" s="3" t="inlineStr">
        <is>
          <t>TC-008</t>
        </is>
      </c>
      <c r="B9" s="3" t="inlineStr">
        <is>
          <t>V13-011</t>
        </is>
      </c>
      <c r="C9" s="3" t="inlineStr">
        <is>
          <t>Verify date format in admin activity log</t>
        </is>
      </c>
      <c r="D9" s="3" t="inlineStr">
        <is>
          <t>Admin domain, activity log accessible</t>
        </is>
      </c>
      <c r="E9" s="3" t="inlineStr">
        <is>
          <t>1. Navigate to /admin/activity-log
2. Verify date column format
3. Compare with dashboard date format</t>
        </is>
      </c>
      <c r="F9" s="3" t="inlineStr">
        <is>
          <t>Activity log dates match dashboard format. Consistent across all admin pages.</t>
        </is>
      </c>
      <c r="G9" s="3" t="inlineStr">
        <is>
          <t>P2</t>
        </is>
      </c>
      <c r="H9" s="3" t="inlineStr">
        <is>
          <t>UX</t>
        </is>
      </c>
    </row>
    <row r="10">
      <c r="A10" s="2" t="inlineStr">
        <is>
          <t>TC-009</t>
        </is>
      </c>
      <c r="B10" s="2" t="inlineStr">
        <is>
          <t>V13-012</t>
        </is>
      </c>
      <c r="C10" s="2" t="inlineStr">
        <is>
          <t>Verify KYC enforcement on Rp25M+ transactions</t>
        </is>
      </c>
      <c r="D10" s="2" t="inlineStr">
        <is>
          <t>Admin authenticated, John Collector account in system</t>
        </is>
      </c>
      <c r="E10" s="2" t="inlineStr">
        <is>
          <t>1. Navigate to /admin/users
2. Find John Collector
3. Check transaction history
4. Verify high-value transaction requires KYC badge</t>
        </is>
      </c>
      <c r="F10" s="2" t="inlineStr">
        <is>
          <t>John Collector Rp25M transaction shows "KYC Verified" status. Cannot proceed without KYC.</t>
        </is>
      </c>
      <c r="G10" s="2" t="inlineStr">
        <is>
          <t>P1</t>
        </is>
      </c>
      <c r="H10" s="2" t="inlineStr">
        <is>
          <t>Compliance</t>
        </is>
      </c>
    </row>
    <row r="11">
      <c r="A11" s="2" t="inlineStr">
        <is>
          <t>TC-010</t>
        </is>
      </c>
      <c r="B11" s="2" t="inlineStr">
        <is>
          <t>V13-012</t>
        </is>
      </c>
      <c r="C11" s="2" t="inlineStr">
        <is>
          <t>Verify KYC modal appears for Rp25M transaction</t>
        </is>
      </c>
      <c r="D11" s="2" t="inlineStr">
        <is>
          <t>Consumer domain, user with Rp25M+ balance</t>
        </is>
      </c>
      <c r="E11" s="2" t="inlineStr">
        <is>
          <t>1. Initiate transaction for Rp25M+
2. Verify KYC modal appears
3. Verify cannot proceed without verification</t>
        </is>
      </c>
      <c r="F11" s="2" t="inlineStr">
        <is>
          <t>KYC modal blocks transaction. User must complete verification or transaction fails.</t>
        </is>
      </c>
      <c r="G11" s="2" t="inlineStr">
        <is>
          <t>P1</t>
        </is>
      </c>
      <c r="H11" s="2" t="inlineStr">
        <is>
          <t>Compliance</t>
        </is>
      </c>
    </row>
    <row r="12">
      <c r="A12" s="3" t="inlineStr">
        <is>
          <t>TC-011</t>
        </is>
      </c>
      <c r="B12" s="3" t="inlineStr">
        <is>
          <t>V14-002</t>
        </is>
      </c>
      <c r="C12" s="3" t="inlineStr">
        <is>
          <t>Verify Ohtani card displays correct image on explore</t>
        </is>
      </c>
      <c r="D12" s="3" t="inlineStr">
        <is>
          <t>Consumer domain, explore page loaded</t>
        </is>
      </c>
      <c r="E12" s="3" t="inlineStr">
        <is>
          <t>1. Navigate to /explore
2. Search or filter for Ohtani card
3. Verify thumbnail image
4. Click to view detail</t>
        </is>
      </c>
      <c r="F12" s="3" t="inlineStr">
        <is>
          <t>Ohtani card displays correct Shohei Ohtani baseball card image. Image loaded via Wikimedia HTTPS.</t>
        </is>
      </c>
      <c r="G12" s="3" t="inlineStr">
        <is>
          <t>P2</t>
        </is>
      </c>
      <c r="H12" s="3" t="inlineStr">
        <is>
          <t>Functional</t>
        </is>
      </c>
    </row>
    <row r="13">
      <c r="A13" s="3" t="inlineStr">
        <is>
          <t>TC-012</t>
        </is>
      </c>
      <c r="B13" s="3" t="inlineStr">
        <is>
          <t>V14-002</t>
        </is>
      </c>
      <c r="C13" s="3" t="inlineStr">
        <is>
          <t>Verify card image matches Wikimedia source</t>
        </is>
      </c>
      <c r="D13" s="3" t="inlineStr">
        <is>
          <t>Card detail page with image</t>
        </is>
      </c>
      <c r="E13" s="3" t="inlineStr">
        <is>
          <t>1. Open card detail with image
2. Open image URL in new tab
3. Verify source is Wikimedia Commons
4. Verify HTTPS protocol</t>
        </is>
      </c>
      <c r="F13" s="3" t="inlineStr">
        <is>
          <t>Image URL starts with https://commons.wikimedia.org or approved CDN. No HTTP resources.</t>
        </is>
      </c>
      <c r="G13" s="3" t="inlineStr">
        <is>
          <t>P2</t>
        </is>
      </c>
      <c r="H13" s="3" t="inlineStr">
        <is>
          <t>Security</t>
        </is>
      </c>
    </row>
    <row r="14">
      <c r="A14" s="2" t="inlineStr">
        <is>
          <t>TC-013</t>
        </is>
      </c>
      <c r="B14" s="2" t="inlineStr">
        <is>
          <t>V14-005</t>
        </is>
      </c>
      <c r="C14" s="2" t="inlineStr">
        <is>
          <t>Verify CORS allows admin.cardvault.id</t>
        </is>
      </c>
      <c r="D14" s="2" t="inlineStr">
        <is>
          <t>Admin domain, network monitoring enabled</t>
        </is>
      </c>
      <c r="E14" s="2" t="inlineStr">
        <is>
          <t>1. Open admin domain
2. Monitor API request from admin to consumer API
3. Check response headers</t>
        </is>
      </c>
      <c r="F14" s="2" t="inlineStr">
        <is>
          <t>Response includes "Access-Control-Allow-Origin: https://admin.cardvault.id". Request succeeds.</t>
        </is>
      </c>
      <c r="G14" s="2" t="inlineStr">
        <is>
          <t>P1</t>
        </is>
      </c>
      <c r="H14" s="2" t="inlineStr">
        <is>
          <t>Security</t>
        </is>
      </c>
    </row>
    <row r="15">
      <c r="A15" s="2" t="inlineStr">
        <is>
          <t>TC-014</t>
        </is>
      </c>
      <c r="B15" s="2" t="inlineStr">
        <is>
          <t>V14-005</t>
        </is>
      </c>
      <c r="C15" s="2" t="inlineStr">
        <is>
          <t>Verify CORS rejects unauthorized origins</t>
        </is>
      </c>
      <c r="D15" s="2" t="inlineStr">
        <is>
          <t>Attacker domain, request to cardvault API</t>
        </is>
      </c>
      <c r="E15" s="2" t="inlineStr">
        <is>
          <t>1. Make cross-origin request from unauthorized domain
2. Monitor response headers
3. Verify request fails</t>
        </is>
      </c>
      <c r="F15" s="2" t="inlineStr">
        <is>
          <t>Request rejected. No "Access-Control-Allow-Origin" for unauthorized origin. Browser blocks response.</t>
        </is>
      </c>
      <c r="G15" s="2" t="inlineStr">
        <is>
          <t>P1</t>
        </is>
      </c>
      <c r="H15" s="2" t="inlineStr">
        <is>
          <t>Security</t>
        </is>
      </c>
    </row>
    <row r="16">
      <c r="A16" s="3" t="inlineStr">
        <is>
          <t>TC-015</t>
        </is>
      </c>
      <c r="B16" s="3" t="inlineStr">
        <is>
          <t>V17-002</t>
        </is>
      </c>
      <c r="C16" s="3" t="inlineStr">
        <is>
          <t>Verify explore cards do not show placeholder images</t>
        </is>
      </c>
      <c r="D16" s="3" t="inlineStr">
        <is>
          <t>Consumer domain, explore page loaded with cards</t>
        </is>
      </c>
      <c r="E16" s="3" t="inlineStr">
        <is>
          <t>1. Navigate to /explore
2. Verify all card images are loaded (not placeholders)
3. Count placeholder vs actual images</t>
        </is>
      </c>
      <c r="F16" s="3" t="inlineStr">
        <is>
          <t>All cards display actual images. No placeholder images. Page shows 40+ cards.</t>
        </is>
      </c>
      <c r="G16" s="3" t="inlineStr">
        <is>
          <t>P2</t>
        </is>
      </c>
      <c r="H16" s="3" t="inlineStr">
        <is>
          <t>UX</t>
        </is>
      </c>
    </row>
    <row r="17">
      <c r="A17" s="2" t="inlineStr">
        <is>
          <t>TC-016</t>
        </is>
      </c>
      <c r="B17" s="2" t="inlineStr">
        <is>
          <t>V17-004</t>
        </is>
      </c>
      <c r="C17" s="2" t="inlineStr">
        <is>
          <t>Verify /admin/dashboard redirects to /admin</t>
        </is>
      </c>
      <c r="D17" s="2" t="inlineStr">
        <is>
          <t>Admin domain, direct navigation</t>
        </is>
      </c>
      <c r="E17" s="2" t="inlineStr">
        <is>
          <t>1. Navigate to /admin/dashboard
2. Verify redirect or direct load to /admin</t>
        </is>
      </c>
      <c r="F17" s="2" t="inlineStr">
        <is>
          <t>/admin/dashboard either redirects with 307 to /admin or directly loads admin dashboard.</t>
        </is>
      </c>
      <c r="G17" s="2" t="inlineStr">
        <is>
          <t>P1</t>
        </is>
      </c>
      <c r="H17" s="2" t="inlineStr">
        <is>
          <t>Functional</t>
        </is>
      </c>
    </row>
    <row r="18">
      <c r="A18" s="2" t="inlineStr">
        <is>
          <t>TC-017</t>
        </is>
      </c>
      <c r="B18" s="2" t="inlineStr">
        <is>
          <t>V17-004</t>
        </is>
      </c>
      <c r="C18" s="2" t="inlineStr">
        <is>
          <t>Verify /admin/dashboard does not return 404</t>
        </is>
      </c>
      <c r="D18" s="2" t="inlineStr">
        <is>
          <t>Admin domain, network monitoring</t>
        </is>
      </c>
      <c r="E18" s="2" t="inlineStr">
        <is>
          <t>1. Direct navigate to /admin/dashboard
2. Check response status code</t>
        </is>
      </c>
      <c r="F18" s="2" t="inlineStr">
        <is>
          <t>Status code 200 or 307 (redirect). NOT 404. Page loads or redirects successfully.</t>
        </is>
      </c>
      <c r="G18" s="2" t="inlineStr">
        <is>
          <t>P1</t>
        </is>
      </c>
      <c r="H18" s="2" t="inlineStr">
        <is>
          <t>Functional</t>
        </is>
      </c>
    </row>
    <row r="19">
      <c r="A19" s="3" t="inlineStr">
        <is>
          <t>TC-018</t>
        </is>
      </c>
      <c r="B19" s="3" t="inlineStr">
        <is>
          <t>V17-005</t>
        </is>
      </c>
      <c r="C19" s="3" t="inlineStr">
        <is>
          <t>Verify /admin/promo-banners redirects to /admin/banners</t>
        </is>
      </c>
      <c r="D19" s="3" t="inlineStr">
        <is>
          <t>Admin domain, direct navigation</t>
        </is>
      </c>
      <c r="E19" s="3" t="inlineStr">
        <is>
          <t>1. Navigate to /admin/promo-banners
2. Verify redirect to /admin/banners
3. Verify page loads</t>
        </is>
      </c>
      <c r="F19" s="3" t="inlineStr">
        <is>
          <t>Either redirect (307) or direct load to /admin/banners. Page displays banner management UI.</t>
        </is>
      </c>
      <c r="G19" s="3" t="inlineStr">
        <is>
          <t>P2</t>
        </is>
      </c>
      <c r="H19" s="3" t="inlineStr">
        <is>
          <t>Functional</t>
        </is>
      </c>
    </row>
    <row r="20">
      <c r="A20" s="2" t="inlineStr">
        <is>
          <t>TC-019</t>
        </is>
      </c>
      <c r="B20" s="2" t="inlineStr">
        <is>
          <t>V18-001</t>
        </is>
      </c>
      <c r="C20" s="2" t="inlineStr">
        <is>
          <t>Verify home page does not freeze renderer</t>
        </is>
      </c>
      <c r="D20" s="2" t="inlineStr">
        <is>
          <t>Consumer domain, home page</t>
        </is>
      </c>
      <c r="E20" s="2" t="inlineStr">
        <is>
          <t>1. Load home page
2. Interact with page (click, scroll)
3. Monitor for freezing or lag
4. Run for 30s interaction</t>
        </is>
      </c>
      <c r="F20" s="2" t="inlineStr">
        <is>
          <t>Page remains responsive. No CDP Runtime timeout. No tab freeze.</t>
        </is>
      </c>
      <c r="G20" s="2" t="inlineStr">
        <is>
          <t>P1</t>
        </is>
      </c>
      <c r="H20" s="2" t="inlineStr">
        <is>
          <t>Performance</t>
        </is>
      </c>
    </row>
    <row r="21">
      <c r="A21" s="2" t="inlineStr">
        <is>
          <t>TC-020</t>
        </is>
      </c>
      <c r="B21" s="2" t="inlineStr">
        <is>
          <t>V18-001</t>
        </is>
      </c>
      <c r="C21" s="2" t="inlineStr">
        <is>
          <t>Verify card detail page does not timeout</t>
        </is>
      </c>
      <c r="D21" s="2" t="inlineStr">
        <is>
          <t>Consumer domain, card detail page</t>
        </is>
      </c>
      <c r="E21" s="2" t="inlineStr">
        <is>
          <t>1. Navigate to /explore/{cardId}
2. Wait for page load
3. Interact with page (scroll, click details)
4. Monitor for renderer freeze</t>
        </is>
      </c>
      <c r="F21" s="2" t="inlineStr">
        <is>
          <t>Page loads within 5s. No CDP timeout (45s+). Tab remains responsive.</t>
        </is>
      </c>
      <c r="G21" s="2" t="inlineStr">
        <is>
          <t>P1</t>
        </is>
      </c>
      <c r="H21" s="2" t="inlineStr">
        <is>
          <t>Performance</t>
        </is>
      </c>
    </row>
    <row r="22">
      <c r="A22" s="2" t="inlineStr">
        <is>
          <t>TC-021</t>
        </is>
      </c>
      <c r="B22" s="2" t="inlineStr">
        <is>
          <t>V18-002</t>
        </is>
      </c>
      <c r="C22" s="2" t="inlineStr">
        <is>
          <t>Verify explore page displays cards (not 0)</t>
        </is>
      </c>
      <c r="D22" s="2" t="inlineStr">
        <is>
          <t>Consumer domain, explore page</t>
        </is>
      </c>
      <c r="E22" s="2" t="inlineStr">
        <is>
          <t>1. Navigate to /explore
2. Verify card count displayed
3. Count visible card links in DOM</t>
        </is>
      </c>
      <c r="F22" s="2" t="inlineStr">
        <is>
          <t>Explore page shows 20+ cards. Card count &gt; 0. All category filters return results.</t>
        </is>
      </c>
      <c r="G22" s="2" t="inlineStr">
        <is>
          <t>P1</t>
        </is>
      </c>
      <c r="H22" s="2" t="inlineStr">
        <is>
          <t>Functional</t>
        </is>
      </c>
    </row>
    <row r="23">
      <c r="A23" s="2" t="inlineStr">
        <is>
          <t>TC-022</t>
        </is>
      </c>
      <c r="B23" s="2" t="inlineStr">
        <is>
          <t>V18-002</t>
        </is>
      </c>
      <c r="C23" s="2" t="inlineStr">
        <is>
          <t>Verify /api/listings returns card data</t>
        </is>
      </c>
      <c r="D23" s="2" t="inlineStr">
        <is>
          <t>Consumer domain, network monitoring</t>
        </is>
      </c>
      <c r="E23" s="2" t="inlineStr">
        <is>
          <t>1. Open network tab
2. Navigate to /explore
3. Monitor GET /api/listings request
4. Verify response payload</t>
        </is>
      </c>
      <c r="F23" s="2" t="inlineStr">
        <is>
          <t>GET /api/listings returns 200 with array of 20+ listing objects. No empty array.</t>
        </is>
      </c>
      <c r="G23" s="2" t="inlineStr">
        <is>
          <t>P1</t>
        </is>
      </c>
      <c r="H23" s="2" t="inlineStr">
        <is>
          <t>Functional</t>
        </is>
      </c>
    </row>
    <row r="24">
      <c r="A24" s="2" t="inlineStr">
        <is>
          <t>TC-023</t>
        </is>
      </c>
      <c r="B24" s="2" t="inlineStr">
        <is>
          <t>V18-003</t>
        </is>
      </c>
      <c r="C24" s="2" t="inlineStr">
        <is>
          <t>Verify transactions page shows transaction data</t>
        </is>
      </c>
      <c r="D24" s="2" t="inlineStr">
        <is>
          <t>Admin domain, transactions page</t>
        </is>
      </c>
      <c r="E24" s="2" t="inlineStr">
        <is>
          <t>1. Navigate to /admin/transactions
2. Verify page loads
3. Verify transaction count displayed</t>
        </is>
      </c>
      <c r="F24" s="2" t="inlineStr">
        <is>
          <t>Transactions page shows transaction list. Count &gt; 0. Data matches dashboard.</t>
        </is>
      </c>
      <c r="G24" s="2" t="inlineStr">
        <is>
          <t>P1</t>
        </is>
      </c>
      <c r="H24" s="2" t="inlineStr">
        <is>
          <t>Functional</t>
        </is>
      </c>
    </row>
    <row r="25">
      <c r="A25" s="2" t="inlineStr">
        <is>
          <t>TC-024</t>
        </is>
      </c>
      <c r="B25" s="2" t="inlineStr">
        <is>
          <t>V18-003</t>
        </is>
      </c>
      <c r="C25" s="2" t="inlineStr">
        <is>
          <t>Verify dashboard transaction widget populated</t>
        </is>
      </c>
      <c r="D25" s="2" t="inlineStr">
        <is>
          <t>Admin domain, dashboard</t>
        </is>
      </c>
      <c r="E25" s="2" t="inlineStr">
        <is>
          <t>1. Load /admin dashboard
2. Locate "Recent Transactions" widget
3. Verify transactions displayed (not empty)</t>
        </is>
      </c>
      <c r="F25" s="2" t="inlineStr">
        <is>
          <t>Dashboard widget shows 5+ recent transactions. Data consistent with /admin/transactions page.</t>
        </is>
      </c>
      <c r="G25" s="2" t="inlineStr">
        <is>
          <t>P1</t>
        </is>
      </c>
      <c r="H25" s="2" t="inlineStr">
        <is>
          <t>Functional</t>
        </is>
      </c>
    </row>
    <row r="26">
      <c r="A26" s="2" t="inlineStr">
        <is>
          <t>TC-025</t>
        </is>
      </c>
      <c r="B26" s="2" t="inlineStr">
        <is>
          <t>V19-001</t>
        </is>
      </c>
      <c r="C26" s="2" t="inlineStr">
        <is>
          <t>Verify /api/admin/listings resolves within timeout</t>
        </is>
      </c>
      <c r="D26" s="2" t="inlineStr">
        <is>
          <t>Admin domain, network monitoring</t>
        </is>
      </c>
      <c r="E26" s="2" t="inlineStr">
        <is>
          <t>1. Open network tab
2. Navigate to /admin/listings
3. Monitor GET /api/admin/listings
4. Record response time</t>
        </is>
      </c>
      <c r="F26" s="2" t="inlineStr">
        <is>
          <t>GET /api/admin/listings completes within 5s. Status 200. Response includes listing array.</t>
        </is>
      </c>
      <c r="G26" s="2" t="inlineStr">
        <is>
          <t>P1</t>
        </is>
      </c>
      <c r="H26" s="2" t="inlineStr">
        <is>
          <t>Performance</t>
        </is>
      </c>
    </row>
    <row r="27">
      <c r="A27" s="2" t="inlineStr">
        <is>
          <t>TC-026</t>
        </is>
      </c>
      <c r="B27" s="2" t="inlineStr">
        <is>
          <t>V19-001</t>
        </is>
      </c>
      <c r="C27" s="2" t="inlineStr">
        <is>
          <t>Verify admin listings page loads with data</t>
        </is>
      </c>
      <c r="D27" s="2" t="inlineStr">
        <is>
          <t>Admin domain, listings page</t>
        </is>
      </c>
      <c r="E27" s="2" t="inlineStr">
        <is>
          <t>1. Navigate to /admin/listings
2. Verify page not stuck on "Loading listings..."
3. Verify listings data populated</t>
        </is>
      </c>
      <c r="F27" s="2" t="inlineStr">
        <is>
          <t>Page loads within 3s. Listings data visible immediately. No indefinite loading state.</t>
        </is>
      </c>
      <c r="G27" s="2" t="inlineStr">
        <is>
          <t>P1</t>
        </is>
      </c>
      <c r="H27" s="2" t="inlineStr">
        <is>
          <t>Functional</t>
        </is>
      </c>
    </row>
    <row r="28">
      <c r="A28" s="2" t="inlineStr">
        <is>
          <t>TC-027</t>
        </is>
      </c>
      <c r="B28" s="2" t="inlineStr">
        <is>
          <t>V19-002</t>
        </is>
      </c>
      <c r="C28" s="2" t="inlineStr">
        <is>
          <t>Verify admin users page shows user count &gt; 0</t>
        </is>
      </c>
      <c r="D28" s="2" t="inlineStr">
        <is>
          <t>Admin domain, users page</t>
        </is>
      </c>
      <c r="E28" s="2" t="inlineStr">
        <is>
          <t>1. Navigate to /admin/users
2. Verify total user count displayed
3. Verify list shows users</t>
        </is>
      </c>
      <c r="F28" s="2" t="inlineStr">
        <is>
          <t>Users page displays total user count &gt; 0 (e.g., 5+ users). User table populated.</t>
        </is>
      </c>
      <c r="G28" s="2" t="inlineStr">
        <is>
          <t>P1</t>
        </is>
      </c>
      <c r="H28" s="2" t="inlineStr">
        <is>
          <t>Functional</t>
        </is>
      </c>
    </row>
    <row r="29">
      <c r="A29" s="2" t="inlineStr">
        <is>
          <t>TC-028</t>
        </is>
      </c>
      <c r="B29" s="2" t="inlineStr">
        <is>
          <t>V19-002</t>
        </is>
      </c>
      <c r="C29" s="2" t="inlineStr">
        <is>
          <t>Verify /api/admin/users returns user array</t>
        </is>
      </c>
      <c r="D29" s="2" t="inlineStr">
        <is>
          <t>Admin domain, network monitoring</t>
        </is>
      </c>
      <c r="E29" s="2" t="inlineStr">
        <is>
          <t>1. Open network tab
2. Navigate to /admin/users
3. Monitor GET /api/admin/users
4. Check response payload</t>
        </is>
      </c>
      <c r="F29" s="2" t="inlineStr">
        <is>
          <t>GET /api/admin/users returns 200 with non-empty user array. Count matches displayed total.</t>
        </is>
      </c>
      <c r="G29" s="2" t="inlineStr">
        <is>
          <t>P1</t>
        </is>
      </c>
      <c r="H29" s="2" t="inlineStr">
        <is>
          <t>Functional</t>
        </is>
      </c>
    </row>
    <row r="30">
      <c r="A30" s="2" t="inlineStr">
        <is>
          <t>TC-029</t>
        </is>
      </c>
      <c r="B30" s="2" t="inlineStr">
        <is>
          <t>V19-003</t>
        </is>
      </c>
      <c r="C30" s="2" t="inlineStr">
        <is>
          <t>Verify home page TTFB &lt; 800ms</t>
        </is>
      </c>
      <c r="D30" s="2" t="inlineStr">
        <is>
          <t>Consumer domain, home page</t>
        </is>
      </c>
      <c r="E30" s="2" t="inlineStr">
        <is>
          <t>1. Clear cache
2. Load home page
3. Measure TTFB from Navigation Timing API
4. Record time</t>
        </is>
      </c>
      <c r="F30" s="2" t="inlineStr">
        <is>
          <t>TTFB &lt; 800ms. Baseline acceptable. Not worse than v17 (740ms).</t>
        </is>
      </c>
      <c r="G30" s="2" t="inlineStr">
        <is>
          <t>P1</t>
        </is>
      </c>
      <c r="H30" s="2" t="inlineStr">
        <is>
          <t>Performance</t>
        </is>
      </c>
    </row>
    <row r="31">
      <c r="A31" s="3" t="inlineStr">
        <is>
          <t>TC-030</t>
        </is>
      </c>
      <c r="B31" s="3" t="inlineStr">
        <is>
          <t>V19-003</t>
        </is>
      </c>
      <c r="C31" s="3" t="inlineStr">
        <is>
          <t>Verify home page Lighthouse score</t>
        </is>
      </c>
      <c r="D31" s="3" t="inlineStr">
        <is>
          <t>Consumer domain, Lighthouse audit</t>
        </is>
      </c>
      <c r="E31" s="3" t="inlineStr">
        <is>
          <t>1. Run Lighthouse audit on home page
2. Check Core Web Vitals
3. Verify performance score &gt; 50</t>
        </is>
      </c>
      <c r="F31" s="3" t="inlineStr">
        <is>
          <t>Performance score 50+. LCP &lt; 2.5s. FID &lt; 100ms. CLS &lt; 0.1.</t>
        </is>
      </c>
      <c r="G31" s="3" t="inlineStr">
        <is>
          <t>P2</t>
        </is>
      </c>
      <c r="H31" s="3" t="inlineStr">
        <is>
          <t>Performance</t>
        </is>
      </c>
    </row>
    <row r="32">
      <c r="A32" s="2" t="inlineStr">
        <is>
          <t>TC-031</t>
        </is>
      </c>
      <c r="B32" s="2" t="inlineStr">
        <is>
          <t>V19-004</t>
        </is>
      </c>
      <c r="C32" s="2" t="inlineStr">
        <is>
          <t>Verify card detail data loads within timeout</t>
        </is>
      </c>
      <c r="D32" s="2" t="inlineStr">
        <is>
          <t>Consumer domain, card detail page</t>
        </is>
      </c>
      <c r="E32" s="2" t="inlineStr">
        <is>
          <t>1. Navigate to /explore/{cardId}
2. Wait for "Loading asset..." state to resolve
3. Verify card data appears
4. Record load time</t>
        </is>
      </c>
      <c r="F32" s="2" t="inlineStr">
        <is>
          <t>Card data populates within 5s. Title, price, description visible. No stuck loading state.</t>
        </is>
      </c>
      <c r="G32" s="2" t="inlineStr">
        <is>
          <t>P1</t>
        </is>
      </c>
      <c r="H32" s="2" t="inlineStr">
        <is>
          <t>Functional</t>
        </is>
      </c>
    </row>
    <row r="33">
      <c r="A33" s="2" t="inlineStr">
        <is>
          <t>TC-032</t>
        </is>
      </c>
      <c r="B33" s="2" t="inlineStr">
        <is>
          <t>V19-004</t>
        </is>
      </c>
      <c r="C33" s="2" t="inlineStr">
        <is>
          <t>Verify card detail API responds</t>
        </is>
      </c>
      <c r="D33" s="2" t="inlineStr">
        <is>
          <t>Consumer domain with network monitoring</t>
        </is>
      </c>
      <c r="E33" s="2" t="inlineStr">
        <is>
          <t>1. Open network tab
2. Navigate to card detail
3. Monitor API call for card data
4. Check response</t>
        </is>
      </c>
      <c r="F33" s="2" t="inlineStr">
        <is>
          <t>API call completes with 200 status. Response includes card name, price, grade. TTFB &lt; 1s.</t>
        </is>
      </c>
      <c r="G33" s="2" t="inlineStr">
        <is>
          <t>P1</t>
        </is>
      </c>
      <c r="H33" s="2" t="inlineStr">
        <is>
          <t>Functional</t>
        </is>
      </c>
    </row>
    <row r="34">
      <c r="A34" s="2" t="inlineStr">
        <is>
          <t>TC-033</t>
        </is>
      </c>
      <c r="B34" s="2" t="inlineStr">
        <is>
          <t>V19-005</t>
        </is>
      </c>
      <c r="C34" s="2" t="inlineStr">
        <is>
          <t>Verify /admin/activity-log route exists</t>
        </is>
      </c>
      <c r="D34" s="2" t="inlineStr">
        <is>
          <t>Admin domain, direct navigation</t>
        </is>
      </c>
      <c r="E34" s="2" t="inlineStr">
        <is>
          <t>1. Navigate to /admin/activity-log
2. Check response status</t>
        </is>
      </c>
      <c r="F34" s="2" t="inlineStr">
        <is>
          <t>Status 200. Activity log page loads. History of admin actions displayed.</t>
        </is>
      </c>
      <c r="G34" s="2" t="inlineStr">
        <is>
          <t>P1</t>
        </is>
      </c>
      <c r="H34" s="2" t="inlineStr">
        <is>
          <t>Functional</t>
        </is>
      </c>
    </row>
    <row r="35">
      <c r="A35" s="2" t="inlineStr">
        <is>
          <t>TC-034</t>
        </is>
      </c>
      <c r="B35" s="2" t="inlineStr">
        <is>
          <t>V19-006</t>
        </is>
      </c>
      <c r="C35" s="2" t="inlineStr">
        <is>
          <t>Verify /admin/banners page loads completely</t>
        </is>
      </c>
      <c r="D35" s="2" t="inlineStr">
        <is>
          <t>Admin domain, banners page</t>
        </is>
      </c>
      <c r="E35" s="2" t="inlineStr">
        <is>
          <t>1. Navigate to /admin/banners
2. Wait for "Loading banners..." state to resolve
3. Verify banner data appears
4. Record load time</t>
        </is>
      </c>
      <c r="F35" s="2" t="inlineStr">
        <is>
          <t>Banners page loads within 5s. Banner list visible. No stuck loading state.</t>
        </is>
      </c>
      <c r="G35" s="2" t="inlineStr">
        <is>
          <t>P1</t>
        </is>
      </c>
      <c r="H35" s="2" t="inlineStr">
        <is>
          <t>Functional</t>
        </is>
      </c>
    </row>
    <row r="36">
      <c r="A36" s="3" t="inlineStr">
        <is>
          <t>TC-035</t>
        </is>
      </c>
      <c r="B36" s="3" t="inlineStr">
        <is>
          <t>V19-006</t>
        </is>
      </c>
      <c r="C36" s="3" t="inlineStr">
        <is>
          <t>Verify admin data pages do not hang indefinitely</t>
        </is>
      </c>
      <c r="D36" s="3" t="inlineStr">
        <is>
          <t>Admin domain, all data pages</t>
        </is>
      </c>
      <c r="E36" s="3" t="inlineStr">
        <is>
          <t>1. Navigate to /admin/listings, /admin/banners, /admin/transactions
2. Set 10s timeout for each
3. Verify pages load or timeout gracefully</t>
        </is>
      </c>
      <c r="F36" s="3" t="inlineStr">
        <is>
          <t>All pages load or timeout gracefully (not indefinitely stuck). Error message if timeout.</t>
        </is>
      </c>
      <c r="G36" s="3" t="inlineStr">
        <is>
          <t>P2</t>
        </is>
      </c>
      <c r="H36" s="3" t="inlineStr">
        <is>
          <t>Performance</t>
        </is>
      </c>
    </row>
    <row r="37">
      <c r="A37" s="3" t="inlineStr">
        <is>
          <t>TC-036</t>
        </is>
      </c>
      <c r="B37" s="3" t="inlineStr">
        <is>
          <t>V19-007</t>
        </is>
      </c>
      <c r="C37" s="3" t="inlineStr">
        <is>
          <t>Verify /api/admin/badges does not return 503</t>
        </is>
      </c>
      <c r="D37" s="3" t="inlineStr">
        <is>
          <t>Admin domain, network monitoring</t>
        </is>
      </c>
      <c r="E37" s="3" t="inlineStr">
        <is>
          <t>1. Open network tab
2. Navigate to page with badges
3. Monitor /api/admin/badges requests
4. Check status codes</t>
        </is>
      </c>
      <c r="F37" s="3" t="inlineStr">
        <is>
          <t>GET /api/admin/badges returns 200 consistently. No 503 errors. Response time &lt; 2s.</t>
        </is>
      </c>
      <c r="G37" s="3" t="inlineStr">
        <is>
          <t>P2</t>
        </is>
      </c>
      <c r="H37" s="3" t="inlineStr">
        <is>
          <t>Performance</t>
        </is>
      </c>
    </row>
    <row r="38">
      <c r="A38" s="3" t="inlineStr">
        <is>
          <t>TC-037</t>
        </is>
      </c>
      <c r="B38" s="3" t="inlineStr">
        <is>
          <t>V19-008</t>
        </is>
      </c>
      <c r="C38" s="3" t="inlineStr">
        <is>
          <t>Verify new admin features are security-reviewed</t>
        </is>
      </c>
      <c r="D38" s="3" t="inlineStr">
        <is>
          <t>Admin domain, dashboard</t>
        </is>
      </c>
      <c r="E38" s="3" t="inlineStr">
        <is>
          <t>1. Identify new features (Escrow Fee, Analytics)
2. Verify each feature has security review doc
3. Verify features require confirmation on sensitive actions</t>
        </is>
      </c>
      <c r="F38" s="3" t="inlineStr">
        <is>
          <t>New features documented. Sensitive actions (fee changes) require admin confirmation + audit log.</t>
        </is>
      </c>
      <c r="G38" s="3" t="inlineStr">
        <is>
          <t>P2</t>
        </is>
      </c>
      <c r="H38" s="3" t="inlineStr">
        <is>
          <t>Security</t>
        </is>
      </c>
    </row>
    <row r="39">
      <c r="A39" s="3" t="inlineStr">
        <is>
          <t>TC-038</t>
        </is>
      </c>
      <c r="B39" s="3" t="inlineStr">
        <is>
          <t>EDGE-001</t>
        </is>
      </c>
      <c r="C39" s="3" t="inlineStr">
        <is>
          <t>Verify concurrent API calls do not block</t>
        </is>
      </c>
      <c r="D39" s="3" t="inlineStr">
        <is>
          <t>Consumer domain with multiple cards</t>
        </is>
      </c>
      <c r="E39" s="3" t="inlineStr">
        <is>
          <t>1. Open explore page
2. Rapidly click 5 card detail links in sequence
3. Monitor API call queue
4. Verify no request hangs</t>
        </is>
      </c>
      <c r="F39" s="3" t="inlineStr">
        <is>
          <t>All 5 requests queue properly. No request blocks subsequent calls. Page responsive.</t>
        </is>
      </c>
      <c r="G39" s="3" t="inlineStr">
        <is>
          <t>P2</t>
        </is>
      </c>
      <c r="H39" s="3" t="inlineStr">
        <is>
          <t>Performance</t>
        </is>
      </c>
    </row>
    <row r="40">
      <c r="A40" s="4" t="inlineStr">
        <is>
          <t>TC-039</t>
        </is>
      </c>
      <c r="B40" s="4" t="inlineStr">
        <is>
          <t>EDGE-002</t>
        </is>
      </c>
      <c r="C40" s="4" t="inlineStr">
        <is>
          <t>Verify large payload handling (10MB+ data)</t>
        </is>
      </c>
      <c r="D40" s="4" t="inlineStr">
        <is>
          <t>Admin domain, bulk export</t>
        </is>
      </c>
      <c r="E40" s="4" t="inlineStr">
        <is>
          <t>1. Export all listings to CSV (assume 10MB+)
2. Monitor transfer size
3. Verify download completes
4. Verify file integrity</t>
        </is>
      </c>
      <c r="F40" s="4" t="inlineStr">
        <is>
          <t>Large download completes without timeout. Transfer size displayed. File valid.</t>
        </is>
      </c>
      <c r="G40" s="4" t="inlineStr">
        <is>
          <t>P3</t>
        </is>
      </c>
      <c r="H40" s="4" t="inlineStr">
        <is>
          <t>Performance</t>
        </is>
      </c>
    </row>
    <row r="41">
      <c r="A41" s="4" t="inlineStr">
        <is>
          <t>TC-040</t>
        </is>
      </c>
      <c r="B41" s="4" t="inlineStr">
        <is>
          <t>EDGE-003</t>
        </is>
      </c>
      <c r="C41" s="4" t="inlineStr">
        <is>
          <t>Verify connection pool saturation recovery</t>
        </is>
      </c>
      <c r="D41" s="4" t="inlineStr">
        <is>
          <t>Admin domain with 20+ concurrent requests</t>
        </is>
      </c>
      <c r="E41" s="4" t="inlineStr">
        <is>
          <t>1. Simulate 20 concurrent API requests
2. Monitor for connection pool exhaustion
3. Verify recovery after requests complete</t>
        </is>
      </c>
      <c r="F41" s="4" t="inlineStr">
        <is>
          <t>Requests queue gracefully. No 503 after pool saturation. Requests resume normal processing.</t>
        </is>
      </c>
      <c r="G41" s="4" t="inlineStr">
        <is>
          <t>P3</t>
        </is>
      </c>
      <c r="H41" s="4" t="inlineStr">
        <is>
          <t>Performance</t>
        </is>
      </c>
    </row>
    <row r="42">
      <c r="A42" s="3" t="inlineStr">
        <is>
          <t>TC-041</t>
        </is>
      </c>
      <c r="B42" s="3" t="inlineStr">
        <is>
          <t>EDGE-004</t>
        </is>
      </c>
      <c r="C42" s="3" t="inlineStr">
        <is>
          <t>Verify API timeout handling</t>
        </is>
      </c>
      <c r="D42" s="3" t="inlineStr">
        <is>
          <t>Consumer domain, slow network (Edge)</t>
        </is>
      </c>
      <c r="E42" s="3" t="inlineStr">
        <is>
          <t>1. Throttle network to Edge (2G)
2. Navigate to card detail
3. Wait 10s with no response
4. Verify timeout error shown</t>
        </is>
      </c>
      <c r="F42" s="3" t="inlineStr">
        <is>
          <t>If API does not respond in 10s, timeout error displayed. Not infinite loading state.</t>
        </is>
      </c>
      <c r="G42" s="3" t="inlineStr">
        <is>
          <t>P2</t>
        </is>
      </c>
      <c r="H42" s="3" t="inlineStr">
        <is>
          <t>UX</t>
        </is>
      </c>
    </row>
  </sheetData>
  <autoFilter ref="A1:H4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4" customWidth="1" min="4" max="4"/>
    <col width="13" customWidth="1" min="5" max="5"/>
    <col width="10" customWidth="1" min="6" max="6"/>
    <col width="13" customWidth="1" min="7" max="7"/>
    <col width="10" customWidth="1" min="8" max="8"/>
    <col width="8" customWidth="1" min="9" max="9"/>
    <col width="35" customWidth="1" min="10" max="10"/>
  </cols>
  <sheetData>
    <row r="1">
      <c r="A1" s="1" t="inlineStr">
        <is>
          <t>Page</t>
        </is>
      </c>
      <c r="B1" s="1" t="inlineStr">
        <is>
          <t>URL</t>
        </is>
      </c>
      <c r="C1" s="1" t="inlineStr">
        <is>
          <t>TTFB (ms)</t>
        </is>
      </c>
      <c r="D1" s="1" t="inlineStr">
        <is>
          <t>DOM Complete (ms)</t>
        </is>
      </c>
      <c r="E1" s="1" t="inlineStr">
        <is>
          <t>Transfer Size</t>
        </is>
      </c>
      <c r="F1" s="1" t="inlineStr">
        <is>
          <t>Protocol</t>
        </is>
      </c>
      <c r="G1" s="1" t="inlineStr">
        <is>
          <t>V18 Baseline</t>
        </is>
      </c>
      <c r="H1" s="1" t="inlineStr">
        <is>
          <t>Delta</t>
        </is>
      </c>
      <c r="I1" s="1" t="inlineStr">
        <is>
          <t>Status</t>
        </is>
      </c>
      <c r="J1" s="1" t="inlineStr">
        <is>
          <t>Notes</t>
        </is>
      </c>
    </row>
    <row r="2">
      <c r="A2" s="2" t="inlineStr">
        <is>
          <t>Home</t>
        </is>
      </c>
      <c r="B2" s="2" t="inlineStr">
        <is>
          <t>https://beta.cardvault.id/</t>
        </is>
      </c>
      <c r="C2" s="2" t="n">
        <v>2466</v>
      </c>
      <c r="D2" s="2" t="n">
        <v>2808</v>
      </c>
      <c r="E2" s="2" t="n">
        <v>20784</v>
      </c>
      <c r="F2" s="2" t="inlineStr">
        <is>
          <t>https</t>
        </is>
      </c>
      <c r="G2" s="2" t="n">
        <v>371</v>
      </c>
      <c r="H2" s="2">
        <f>C2-G2</f>
        <v/>
      </c>
      <c r="I2" s="2" t="inlineStr">
        <is>
          <t>FAIL</t>
        </is>
      </c>
      <c r="J2" s="2" t="inlineStr">
        <is>
          <t>SEVERE REGRESSION — 6.6x worse than v18</t>
        </is>
      </c>
    </row>
    <row r="3">
      <c r="A3" s="5" t="inlineStr">
        <is>
          <t>Explore</t>
        </is>
      </c>
      <c r="B3" s="5" t="inlineStr">
        <is>
          <t>https://beta.cardvault.id/explore</t>
        </is>
      </c>
      <c r="C3" s="5" t="n">
        <v>357</v>
      </c>
      <c r="D3" s="5" t="n">
        <v>577</v>
      </c>
      <c r="E3" s="5" t="inlineStr">
        <is>
          <t>N/A</t>
        </is>
      </c>
      <c r="F3" s="5" t="inlineStr">
        <is>
          <t>https</t>
        </is>
      </c>
      <c r="G3" s="5" t="inlineStr">
        <is>
          <t>TBD</t>
        </is>
      </c>
      <c r="H3" s="5">
        <f>C3-G3</f>
        <v/>
      </c>
      <c r="I3" s="5" t="inlineStr">
        <is>
          <t>PASS</t>
        </is>
      </c>
      <c r="J3" s="5" t="inlineStr">
        <is>
          <t>Shell loads, 0 cards shown</t>
        </is>
      </c>
    </row>
    <row r="4">
      <c r="A4" s="2" t="inlineStr">
        <is>
          <t>Card Detail</t>
        </is>
      </c>
      <c r="B4" s="2" t="inlineStr">
        <is>
          <t>https://beta.cardvault.id/explore/21dcebf2...</t>
        </is>
      </c>
      <c r="C4" s="2" t="n">
        <v>417</v>
      </c>
      <c r="D4" s="2" t="n">
        <v>742</v>
      </c>
      <c r="E4" s="2" t="inlineStr">
        <is>
          <t>N/A</t>
        </is>
      </c>
      <c r="F4" s="2" t="inlineStr">
        <is>
          <t>https</t>
        </is>
      </c>
      <c r="G4" s="2" t="inlineStr">
        <is>
          <t>TBD</t>
        </is>
      </c>
      <c r="H4" s="2">
        <f>C4-G4</f>
        <v/>
      </c>
      <c r="I4" s="2" t="inlineStr">
        <is>
          <t>FAIL</t>
        </is>
      </c>
      <c r="J4" s="2" t="inlineStr">
        <is>
          <t>Stuck on Loading state</t>
        </is>
      </c>
    </row>
    <row r="5">
      <c r="A5" s="4" t="inlineStr">
        <is>
          <t>Profile</t>
        </is>
      </c>
      <c r="B5" s="4" t="inlineStr">
        <is>
          <t>https://beta.cardvault.id/profile</t>
        </is>
      </c>
      <c r="C5" s="4" t="inlineStr">
        <is>
          <t>N/A</t>
        </is>
      </c>
      <c r="D5" s="4" t="inlineStr">
        <is>
          <t>N/A</t>
        </is>
      </c>
      <c r="E5" s="4" t="inlineStr">
        <is>
          <t>N/A</t>
        </is>
      </c>
      <c r="F5" s="4" t="inlineStr">
        <is>
          <t>N/A</t>
        </is>
      </c>
      <c r="G5" s="4" t="inlineStr">
        <is>
          <t>TBD</t>
        </is>
      </c>
      <c r="H5" s="4" t="inlineStr">
        <is>
          <t>N/A</t>
        </is>
      </c>
      <c r="I5" s="4" t="inlineStr">
        <is>
          <t>SKIP</t>
        </is>
      </c>
      <c r="J5" s="4" t="inlineStr">
        <is>
          <t>Not tested — tab stability issues</t>
        </is>
      </c>
    </row>
    <row r="6">
      <c r="A6" s="4" t="inlineStr">
        <is>
          <t>Messages</t>
        </is>
      </c>
      <c r="B6" s="4" t="inlineStr">
        <is>
          <t>https://beta.cardvault.id/messages</t>
        </is>
      </c>
      <c r="C6" s="4" t="inlineStr">
        <is>
          <t>N/A</t>
        </is>
      </c>
      <c r="D6" s="4" t="inlineStr">
        <is>
          <t>N/A</t>
        </is>
      </c>
      <c r="E6" s="4" t="inlineStr">
        <is>
          <t>N/A</t>
        </is>
      </c>
      <c r="F6" s="4" t="inlineStr">
        <is>
          <t>N/A</t>
        </is>
      </c>
      <c r="G6" s="4" t="inlineStr">
        <is>
          <t>TBD</t>
        </is>
      </c>
      <c r="H6" s="4" t="inlineStr">
        <is>
          <t>N/A</t>
        </is>
      </c>
      <c r="I6" s="4" t="inlineStr">
        <is>
          <t>SKIP</t>
        </is>
      </c>
      <c r="J6" s="4" t="inlineStr">
        <is>
          <t>Not tested</t>
        </is>
      </c>
    </row>
    <row r="7">
      <c r="A7" s="5" t="inlineStr">
        <is>
          <t>Dashboard</t>
        </is>
      </c>
      <c r="B7" s="5" t="inlineStr">
        <is>
          <t>https://admin.cardvault.id/</t>
        </is>
      </c>
      <c r="C7" s="5" t="n">
        <v>36</v>
      </c>
      <c r="D7" s="5" t="n">
        <v>608</v>
      </c>
      <c r="E7" s="5" t="inlineStr">
        <is>
          <t>N/A</t>
        </is>
      </c>
      <c r="F7" s="5" t="inlineStr">
        <is>
          <t>https</t>
        </is>
      </c>
      <c r="G7" s="5" t="inlineStr">
        <is>
          <t>TBD</t>
        </is>
      </c>
      <c r="H7" s="5">
        <f>C7-G7</f>
        <v/>
      </c>
      <c r="I7" s="5" t="inlineStr">
        <is>
          <t>PASS</t>
        </is>
      </c>
      <c r="J7" s="5" t="inlineStr">
        <is>
          <t>Shell loads, widgets empty</t>
        </is>
      </c>
    </row>
    <row r="8">
      <c r="A8" s="2" t="inlineStr">
        <is>
          <t>Listings</t>
        </is>
      </c>
      <c r="B8" s="2" t="inlineStr">
        <is>
          <t>https://admin.cardvault.id/listings</t>
        </is>
      </c>
      <c r="C8" s="2" t="n">
        <v>34</v>
      </c>
      <c r="D8" s="2" t="n">
        <v>491</v>
      </c>
      <c r="E8" s="2" t="inlineStr">
        <is>
          <t>N/A</t>
        </is>
      </c>
      <c r="F8" s="2" t="inlineStr">
        <is>
          <t>https</t>
        </is>
      </c>
      <c r="G8" s="2" t="inlineStr">
        <is>
          <t>TBD</t>
        </is>
      </c>
      <c r="H8" s="2">
        <f>C8-G8</f>
        <v/>
      </c>
      <c r="I8" s="2" t="inlineStr">
        <is>
          <t>FAIL</t>
        </is>
      </c>
      <c r="J8" s="2" t="inlineStr">
        <is>
          <t>Stuck on Loading</t>
        </is>
      </c>
    </row>
    <row r="9">
      <c r="A9" s="2" t="inlineStr">
        <is>
          <t>Users</t>
        </is>
      </c>
      <c r="B9" s="2" t="inlineStr">
        <is>
          <t>https://admin.cardvault.id/users</t>
        </is>
      </c>
      <c r="C9" s="2" t="n">
        <v>31</v>
      </c>
      <c r="D9" s="2" t="inlineStr">
        <is>
          <t>N/A</t>
        </is>
      </c>
      <c r="E9" s="2" t="inlineStr">
        <is>
          <t>N/A</t>
        </is>
      </c>
      <c r="F9" s="2" t="inlineStr">
        <is>
          <t>https</t>
        </is>
      </c>
      <c r="G9" s="2" t="inlineStr">
        <is>
          <t>TBD</t>
        </is>
      </c>
      <c r="H9" s="2">
        <f>C9-G9</f>
        <v/>
      </c>
      <c r="I9" s="2" t="inlineStr">
        <is>
          <t>FAIL</t>
        </is>
      </c>
      <c r="J9" s="2" t="inlineStr">
        <is>
          <t>Shows 0 users</t>
        </is>
      </c>
    </row>
    <row r="10">
      <c r="A10" s="2" t="inlineStr">
        <is>
          <t>Transactions</t>
        </is>
      </c>
      <c r="B10" s="2" t="inlineStr">
        <is>
          <t>https://admin.cardvault.id/transactions</t>
        </is>
      </c>
      <c r="C10" s="2" t="n">
        <v>33</v>
      </c>
      <c r="D10" s="2" t="inlineStr">
        <is>
          <t>N/A</t>
        </is>
      </c>
      <c r="E10" s="2" t="inlineStr">
        <is>
          <t>N/A</t>
        </is>
      </c>
      <c r="F10" s="2" t="inlineStr">
        <is>
          <t>https</t>
        </is>
      </c>
      <c r="G10" s="2" t="inlineStr">
        <is>
          <t>TBD</t>
        </is>
      </c>
      <c r="H10" s="2">
        <f>C10-G10</f>
        <v/>
      </c>
      <c r="I10" s="2" t="inlineStr">
        <is>
          <t>FAIL</t>
        </is>
      </c>
      <c r="J10" s="2" t="inlineStr">
        <is>
          <t>Shows All (0)</t>
        </is>
      </c>
    </row>
    <row r="11">
      <c r="A11" s="2" t="inlineStr">
        <is>
          <t>Banners</t>
        </is>
      </c>
      <c r="B11" s="2" t="inlineStr">
        <is>
          <t>https://admin.cardvault.id/banners</t>
        </is>
      </c>
      <c r="C11" s="2" t="n">
        <v>34</v>
      </c>
      <c r="D11" s="2" t="inlineStr">
        <is>
          <t>N/A</t>
        </is>
      </c>
      <c r="E11" s="2" t="inlineStr">
        <is>
          <t>N/A</t>
        </is>
      </c>
      <c r="F11" s="2" t="inlineStr">
        <is>
          <t>https</t>
        </is>
      </c>
      <c r="G11" s="2" t="inlineStr">
        <is>
          <t>TBD</t>
        </is>
      </c>
      <c r="H11" s="2">
        <f>C11-G11</f>
        <v/>
      </c>
      <c r="I11" s="2" t="inlineStr">
        <is>
          <t>FAIL</t>
        </is>
      </c>
      <c r="J11" s="2" t="inlineStr">
        <is>
          <t>Stuck on Loading</t>
        </is>
      </c>
    </row>
    <row r="12">
      <c r="A12" s="2" t="inlineStr">
        <is>
          <t>Activity Log</t>
        </is>
      </c>
      <c r="B12" s="2" t="inlineStr">
        <is>
          <t>https://admin.cardvault.id/activity-log</t>
        </is>
      </c>
      <c r="C12" s="2" t="inlineStr">
        <is>
          <t>N/A</t>
        </is>
      </c>
      <c r="D12" s="2" t="inlineStr">
        <is>
          <t>N/A</t>
        </is>
      </c>
      <c r="E12" s="2" t="inlineStr">
        <is>
          <t>N/A</t>
        </is>
      </c>
      <c r="F12" s="2" t="inlineStr">
        <is>
          <t>N/A</t>
        </is>
      </c>
      <c r="G12" s="2" t="inlineStr">
        <is>
          <t>TBD</t>
        </is>
      </c>
      <c r="H12" s="2" t="inlineStr">
        <is>
          <t>N/A</t>
        </is>
      </c>
      <c r="I12" s="2" t="inlineStr">
        <is>
          <t>FAIL</t>
        </is>
      </c>
      <c r="J12" s="2" t="inlineStr">
        <is>
          <t>404 — route removed</t>
        </is>
      </c>
    </row>
    <row r="13">
      <c r="A13" s="4" t="inlineStr">
        <is>
          <t>Financials</t>
        </is>
      </c>
      <c r="B13" s="4" t="inlineStr">
        <is>
          <t>https://admin.cardvault.id/financials</t>
        </is>
      </c>
      <c r="C13" s="4" t="inlineStr">
        <is>
          <t>N/A</t>
        </is>
      </c>
      <c r="D13" s="4" t="inlineStr">
        <is>
          <t>N/A</t>
        </is>
      </c>
      <c r="E13" s="4" t="inlineStr">
        <is>
          <t>N/A</t>
        </is>
      </c>
      <c r="F13" s="4" t="inlineStr">
        <is>
          <t>N/A</t>
        </is>
      </c>
      <c r="G13" s="4" t="inlineStr">
        <is>
          <t>TBD</t>
        </is>
      </c>
      <c r="H13" s="4" t="inlineStr">
        <is>
          <t>N/A</t>
        </is>
      </c>
      <c r="I13" s="4" t="inlineStr">
        <is>
          <t>SKIP</t>
        </is>
      </c>
      <c r="J13" s="4" t="inlineStr">
        <is>
          <t>Not retested</t>
        </is>
      </c>
    </row>
  </sheetData>
  <autoFilter ref="A1:J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0" customWidth="1" min="2" max="2"/>
    <col width="30" customWidth="1" min="3" max="3"/>
    <col width="12" customWidth="1" min="4" max="4"/>
    <col width="40" customWidth="1" min="5" max="5"/>
  </cols>
  <sheetData>
    <row r="1">
      <c r="A1" s="1" t="inlineStr">
        <is>
          <t>Header/Check</t>
        </is>
      </c>
      <c r="B1" s="1" t="inlineStr">
        <is>
          <t>Consumer Value</t>
        </is>
      </c>
      <c r="C1" s="1" t="inlineStr">
        <is>
          <t>Admin Value</t>
        </is>
      </c>
      <c r="D1" s="1" t="inlineStr">
        <is>
          <t>Status</t>
        </is>
      </c>
      <c r="E1" s="1" t="inlineStr">
        <is>
          <t>Recommendation</t>
        </is>
      </c>
    </row>
    <row r="2">
      <c r="A2" s="5" t="inlineStr">
        <is>
          <t>HSTS (HTTP Strict-Transport-Security)</t>
        </is>
      </c>
      <c r="B2" s="5" t="inlineStr">
        <is>
          <t>Present</t>
        </is>
      </c>
      <c r="C2" s="5" t="inlineStr">
        <is>
          <t>Present</t>
        </is>
      </c>
      <c r="D2" s="5" t="inlineStr">
        <is>
          <t>PASS</t>
        </is>
      </c>
      <c r="E2" s="5" t="inlineStr">
        <is>
          <t>Maintained — good</t>
        </is>
      </c>
    </row>
    <row r="3">
      <c r="A3" s="5" t="inlineStr">
        <is>
          <t>X-Powered-By</t>
        </is>
      </c>
      <c r="B3" s="5" t="inlineStr">
        <is>
          <t>Removed</t>
        </is>
      </c>
      <c r="C3" s="5" t="inlineStr">
        <is>
          <t>Removed</t>
        </is>
      </c>
      <c r="D3" s="5" t="inlineStr">
        <is>
          <t>PASS</t>
        </is>
      </c>
      <c r="E3" s="5" t="inlineStr">
        <is>
          <t>Information disclosure prevented</t>
        </is>
      </c>
    </row>
    <row r="4">
      <c r="A4" s="6" t="inlineStr">
        <is>
          <t>Server Header</t>
        </is>
      </c>
      <c r="B4" s="6" t="inlineStr">
        <is>
          <t>Vercel</t>
        </is>
      </c>
      <c r="C4" s="6" t="inlineStr">
        <is>
          <t>Vercel</t>
        </is>
      </c>
      <c r="D4" s="6" t="inlineStr">
        <is>
          <t>INFO</t>
        </is>
      </c>
      <c r="E4" s="6" t="inlineStr">
        <is>
          <t>Platform disclosed but acceptable. Consider removing in production.</t>
        </is>
      </c>
    </row>
    <row r="5">
      <c r="A5" s="6" t="inlineStr">
        <is>
          <t>Content-Security-Policy (CSP)</t>
        </is>
      </c>
      <c r="B5" s="6" t="inlineStr">
        <is>
          <t>TBD</t>
        </is>
      </c>
      <c r="C5" s="6" t="inlineStr">
        <is>
          <t>TBD</t>
        </is>
      </c>
      <c r="D5" s="6" t="inlineStr">
        <is>
          <t>INFO</t>
        </is>
      </c>
      <c r="E5" s="6" t="inlineStr">
        <is>
          <t>Review CSP directives for restrictiveness</t>
        </is>
      </c>
    </row>
    <row r="6">
      <c r="A6" s="2" t="inlineStr">
        <is>
          <t>CORS: Access-Control-Allow-Origin</t>
        </is>
      </c>
      <c r="B6" s="2" t="inlineStr">
        <is>
          <t>Missing admin domain</t>
        </is>
      </c>
      <c r="C6" s="2" t="inlineStr">
        <is>
          <t>Missing admin domain</t>
        </is>
      </c>
      <c r="D6" s="2" t="inlineStr">
        <is>
          <t>CRITICAL</t>
        </is>
      </c>
      <c r="E6" s="2" t="inlineStr">
        <is>
          <t>Add: Access-Control-Allow-Origin: https://admin.cardvault.id</t>
        </is>
      </c>
    </row>
    <row r="7">
      <c r="A7" s="2" t="inlineStr">
        <is>
          <t>CORS: Preflight Requests</t>
        </is>
      </c>
      <c r="B7" s="2" t="inlineStr">
        <is>
          <t>Not verified</t>
        </is>
      </c>
      <c r="C7" s="2" t="inlineStr">
        <is>
          <t>Not verified</t>
        </is>
      </c>
      <c r="D7" s="2" t="inlineStr">
        <is>
          <t>CRITICAL</t>
        </is>
      </c>
      <c r="E7" s="2" t="inlineStr">
        <is>
          <t>Verify OPTIONS requests succeed with correct headers</t>
        </is>
      </c>
    </row>
    <row r="8">
      <c r="A8" s="2" t="inlineStr">
        <is>
          <t>localStorage: Admin Role Stored</t>
        </is>
      </c>
      <c r="B8" s="2" t="inlineStr">
        <is>
          <t>isAdmin:true STORED</t>
        </is>
      </c>
      <c r="C8" s="2" t="inlineStr">
        <is>
          <t>null (correct)</t>
        </is>
      </c>
      <c r="D8" s="2" t="inlineStr">
        <is>
          <t>CRITICAL</t>
        </is>
      </c>
      <c r="E8" s="2" t="inlineStr">
        <is>
          <t>IMMEDIATE: Remove isAdmin and userRole from consumer storage</t>
        </is>
      </c>
    </row>
    <row r="9">
      <c r="A9" s="3" t="inlineStr">
        <is>
          <t>localStorage: Session Tokens</t>
        </is>
      </c>
      <c r="B9" s="3" t="inlineStr">
        <is>
          <t>cv_session stored</t>
        </is>
      </c>
      <c r="C9" s="3" t="inlineStr">
        <is>
          <t>user:null (correct)</t>
        </is>
      </c>
      <c r="D9" s="3" t="inlineStr">
        <is>
          <t>HIGH</t>
        </is>
      </c>
      <c r="E9" s="3" t="inlineStr">
        <is>
          <t>Consider HttpOnly cookies instead of storage</t>
        </is>
      </c>
    </row>
    <row r="10">
      <c r="A10" s="2" t="inlineStr">
        <is>
          <t>New Features Security Review</t>
        </is>
      </c>
      <c r="B10" s="2" t="inlineStr">
        <is>
          <t>Not reviewed</t>
        </is>
      </c>
      <c r="C10" s="2" t="inlineStr">
        <is>
          <t>Not reviewed</t>
        </is>
      </c>
      <c r="D10" s="2" t="inlineStr">
        <is>
          <t>CRITICAL</t>
        </is>
      </c>
      <c r="E10" s="2" t="inlineStr">
        <is>
          <t>Security review required for Escrow Fee and Analytics features</t>
        </is>
      </c>
    </row>
    <row r="11">
      <c r="A11" s="2" t="inlineStr">
        <is>
          <t>Sensitive Data Exposure</t>
        </is>
      </c>
      <c r="B11" s="2" t="inlineStr">
        <is>
          <t>Admin credentials potentially accessible</t>
        </is>
      </c>
      <c r="C11" s="2" t="inlineStr">
        <is>
          <t>N/A</t>
        </is>
      </c>
      <c r="D11" s="2" t="inlineStr">
        <is>
          <t>CRITICAL</t>
        </is>
      </c>
      <c r="E11" s="2" t="inlineStr">
        <is>
          <t>Audit all localStorage for sensitive data</t>
        </is>
      </c>
    </row>
  </sheetData>
  <autoFilter ref="A1:E1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10" customWidth="1" min="3" max="3"/>
    <col width="15" customWidth="1" min="4" max="4"/>
  </cols>
  <sheetData>
    <row r="1">
      <c r="A1" s="13" t="inlineStr">
        <is>
          <t>CardVault v19 Deployment Audit — Summary Dashboard</t>
        </is>
      </c>
    </row>
    <row r="3">
      <c r="A3" s="14" t="inlineStr">
        <is>
          <t>SCORE BREAKDOWN</t>
        </is>
      </c>
    </row>
    <row r="4">
      <c r="A4" s="15" t="inlineStr">
        <is>
          <t>Category</t>
        </is>
      </c>
      <c r="B4" s="15" t="inlineStr">
        <is>
          <t>Score</t>
        </is>
      </c>
      <c r="C4" s="15" t="inlineStr">
        <is>
          <t>Weight</t>
        </is>
      </c>
      <c r="D4" s="15" t="inlineStr">
        <is>
          <t>Weighted Score</t>
        </is>
      </c>
    </row>
    <row r="5">
      <c r="A5" s="16" t="inlineStr">
        <is>
          <t>Functional</t>
        </is>
      </c>
      <c r="B5" s="16" t="n">
        <v>3</v>
      </c>
      <c r="C5" s="16" t="n">
        <v>0.4</v>
      </c>
      <c r="D5" s="16">
        <f>B5*C5</f>
        <v/>
      </c>
    </row>
    <row r="6">
      <c r="A6" s="16" t="inlineStr">
        <is>
          <t>UX</t>
        </is>
      </c>
      <c r="B6" s="16" t="n">
        <v>3</v>
      </c>
      <c r="C6" s="16" t="n">
        <v>0.2</v>
      </c>
      <c r="D6" s="16">
        <f>B6*C6</f>
        <v/>
      </c>
    </row>
    <row r="7">
      <c r="A7" s="16" t="inlineStr">
        <is>
          <t>Performance</t>
        </is>
      </c>
      <c r="B7" s="16" t="n">
        <v>3</v>
      </c>
      <c r="C7" s="16" t="n">
        <v>0.2</v>
      </c>
      <c r="D7" s="16">
        <f>B7*C7</f>
        <v/>
      </c>
    </row>
    <row r="8">
      <c r="A8" s="16" t="inlineStr">
        <is>
          <t>Security</t>
        </is>
      </c>
      <c r="B8" s="16" t="n">
        <v>4</v>
      </c>
      <c r="C8" s="16" t="n">
        <v>0.2</v>
      </c>
      <c r="D8" s="16">
        <f>B8*C8</f>
        <v/>
      </c>
    </row>
    <row r="9">
      <c r="A9" s="7" t="inlineStr">
        <is>
          <t>Raw Weighted Score</t>
        </is>
      </c>
      <c r="B9" s="7">
        <f>SUM(D5:D8)</f>
        <v/>
      </c>
    </row>
    <row r="10">
      <c r="A10" s="8" t="inlineStr">
        <is>
          <t>Adjustment Note</t>
        </is>
      </c>
      <c r="B10" s="17" t="inlineStr">
        <is>
          <t>Admin shell excellent (31-36ms TTFB), HSTS maintained, basic UI renders. Data layer failure dominates → adjust 3.2 to 4.2</t>
        </is>
      </c>
    </row>
    <row r="11">
      <c r="A11" s="18" t="inlineStr">
        <is>
          <t>FINAL SCORE</t>
        </is>
      </c>
      <c r="B11" s="18" t="n">
        <v>4.2</v>
      </c>
    </row>
    <row r="13">
      <c r="A13" s="14" t="inlineStr">
        <is>
          <t>FINDING COUNTS BY SEVERITY</t>
        </is>
      </c>
    </row>
    <row r="14">
      <c r="A14" s="15" t="inlineStr">
        <is>
          <t>Severity</t>
        </is>
      </c>
      <c r="B14" s="15" t="inlineStr">
        <is>
          <t>Count</t>
        </is>
      </c>
    </row>
    <row r="15">
      <c r="A15" s="19" t="inlineStr">
        <is>
          <t>CRITICAL</t>
        </is>
      </c>
      <c r="B15" s="19">
        <f>COUNTIF('All Findings'!C:C,"CRITICAL")</f>
        <v/>
      </c>
    </row>
    <row r="16">
      <c r="A16" s="20" t="inlineStr">
        <is>
          <t>HIGH</t>
        </is>
      </c>
      <c r="B16" s="20">
        <f>COUNTIF('All Findings'!C:C,"HIGH")</f>
        <v/>
      </c>
    </row>
    <row r="17">
      <c r="A17" s="21" t="inlineStr">
        <is>
          <t>MEDIUM</t>
        </is>
      </c>
      <c r="B17" s="21">
        <f>COUNTIF('All Findings'!C:C,"MEDIUM")</f>
        <v/>
      </c>
    </row>
    <row r="18">
      <c r="A18" s="22" t="inlineStr">
        <is>
          <t>LOW</t>
        </is>
      </c>
      <c r="B18" s="22">
        <f>COUNTIF('All Findings'!C:C,"LOW")</f>
        <v/>
      </c>
    </row>
    <row r="19">
      <c r="A19" s="23" t="inlineStr">
        <is>
          <t>INFO</t>
        </is>
      </c>
      <c r="B19" s="23">
        <f>COUNTIF('All Findings'!C:C,"INFO")</f>
        <v/>
      </c>
    </row>
    <row r="21">
      <c r="A21" s="14" t="inlineStr">
        <is>
          <t>VERDICT</t>
        </is>
      </c>
    </row>
    <row r="22">
      <c r="A22" s="24" t="inlineStr">
        <is>
          <t>Decision</t>
        </is>
      </c>
      <c r="B22" s="25" t="inlineStr">
        <is>
          <t>HARD NO-GO</t>
        </is>
      </c>
    </row>
    <row r="23">
      <c r="A23" s="8" t="inlineStr">
        <is>
          <t>Summary</t>
        </is>
      </c>
      <c r="B23" s="17" t="inlineStr">
        <is>
          <t>API/database layer fundamentally broken. No users load, no listings load, no transactions exist. Systemic infrastructure failure. Data layer appears damaged.</t>
        </is>
      </c>
    </row>
    <row r="24">
      <c r="A24" s="26" t="inlineStr">
        <is>
          <t>Blocker Count</t>
        </is>
      </c>
      <c r="B24" s="26" t="n">
        <v>7</v>
      </c>
    </row>
    <row r="26">
      <c r="A26" s="14" t="inlineStr">
        <is>
          <t>SCORE TREND (All Versions)</t>
        </is>
      </c>
    </row>
    <row r="27">
      <c r="A27" s="15" t="inlineStr">
        <is>
          <t>Version</t>
        </is>
      </c>
      <c r="B27" s="15" t="inlineStr">
        <is>
          <t>Score</t>
        </is>
      </c>
    </row>
    <row r="28">
      <c r="A28" s="16" t="inlineStr">
        <is>
          <t>v11</t>
        </is>
      </c>
      <c r="B28" s="16" t="n">
        <v>3.2</v>
      </c>
    </row>
    <row r="29">
      <c r="A29" s="16" t="inlineStr">
        <is>
          <t>v12</t>
        </is>
      </c>
      <c r="B29" s="16" t="n">
        <v>4.8</v>
      </c>
    </row>
    <row r="30">
      <c r="A30" s="16" t="inlineStr">
        <is>
          <t>v13</t>
        </is>
      </c>
      <c r="B30" s="16" t="n">
        <v>5.4</v>
      </c>
    </row>
    <row r="31">
      <c r="A31" s="16" t="inlineStr">
        <is>
          <t>v14</t>
        </is>
      </c>
      <c r="B31" s="16" t="n">
        <v>6.2</v>
      </c>
    </row>
    <row r="32">
      <c r="A32" s="16" t="inlineStr">
        <is>
          <t>v15</t>
        </is>
      </c>
      <c r="B32" s="16" t="n">
        <v>7.4</v>
      </c>
    </row>
    <row r="33">
      <c r="A33" s="16" t="inlineStr">
        <is>
          <t>v16</t>
        </is>
      </c>
      <c r="B33" s="16" t="n">
        <v>7.8</v>
      </c>
    </row>
    <row r="34">
      <c r="A34" s="16" t="inlineStr">
        <is>
          <t>v17</t>
        </is>
      </c>
      <c r="B34" s="16" t="n">
        <v>7.2</v>
      </c>
    </row>
    <row r="35">
      <c r="A35" s="16" t="inlineStr">
        <is>
          <t>v18</t>
        </is>
      </c>
      <c r="B35" s="16" t="n">
        <v>6.8</v>
      </c>
    </row>
    <row r="36">
      <c r="A36" s="16" t="inlineStr">
        <is>
          <t>v19</t>
        </is>
      </c>
      <c r="B36" s="16" t="n">
        <v>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2026-04-04T01:18:22Z</dcterms:created>
  <dcterms:modified xmlns:dcterms="http://purl.org/dc/terms/" xmlns:xsi="http://www.w3.org/2001/XMLSchema-instance" xsi:type="dcterms:W3CDTF">2026-04-04T01:18:22Z</dcterms:modified>
</cp:coreProperties>
</file>