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Findings" sheetId="1" state="visible" r:id="rId1"/>
    <sheet xmlns:r="http://schemas.openxmlformats.org/officeDocument/2006/relationships" name="Dev Report Verification" sheetId="2" state="visible" r:id="rId2"/>
    <sheet xmlns:r="http://schemas.openxmlformats.org/officeDocument/2006/relationships" name="V17 vs V18 Comparison" sheetId="3" state="visible" r:id="rId3"/>
    <sheet xmlns:r="http://schemas.openxmlformats.org/officeDocument/2006/relationships" name="Test Cases" sheetId="4" state="visible" r:id="rId4"/>
    <sheet xmlns:r="http://schemas.openxmlformats.org/officeDocument/2006/relationships" name="Performance Benchmark" sheetId="5" state="visible" r:id="rId5"/>
    <sheet xmlns:r="http://schemas.openxmlformats.org/officeDocument/2006/relationships" name="Security Headers" sheetId="6" state="visible" r:id="rId6"/>
    <sheet xmlns:r="http://schemas.openxmlformats.org/officeDocument/2006/relationships" name="Summary Dashboard" sheetId="7" state="visible" r:id="rId7"/>
  </sheets>
  <definedNames>
    <definedName name="_xlnm._FilterDatabase" localSheetId="0" hidden="1">'All Findings'!$A$1:$J$18</definedName>
    <definedName name="_xlnm._FilterDatabase" localSheetId="1" hidden="1">'Dev Report Verification'!$A$1:$D$11</definedName>
    <definedName name="_xlnm._FilterDatabase" localSheetId="2" hidden="1">'V17 vs V18 Comparison'!$A$1:$D$18</definedName>
    <definedName name="_xlnm._FilterDatabase" localSheetId="3" hidden="1">'Test Cases'!$A$1:$H$37</definedName>
    <definedName name="_xlnm._FilterDatabase" localSheetId="4" hidden="1">'Performance Benchmark'!$A$1:$E$11</definedName>
    <definedName name="_xlnm._FilterDatabase" localSheetId="5" hidden="1">'Security Headers'!$A$1:$E$9</definedName>
  </definedNames>
  <calcPr calcId="124519" calcMode="auto"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color rgb="00FFFFFF"/>
      <sz val="11"/>
    </font>
    <font>
      <name val="Arial"/>
      <sz val="10"/>
    </font>
    <font>
      <name val="Arial"/>
      <b val="1"/>
      <sz val="10"/>
    </font>
    <font>
      <name val="Arial"/>
      <b val="1"/>
      <color rgb="00FFFFFF"/>
      <sz val="14"/>
    </font>
    <font>
      <name val="Arial"/>
      <b val="1"/>
      <sz val="12"/>
    </font>
    <font>
      <name val="Arial"/>
      <b val="1"/>
      <sz val="11"/>
    </font>
  </fonts>
  <fills count="13">
    <fill>
      <patternFill/>
    </fill>
    <fill>
      <patternFill patternType="gray125"/>
    </fill>
    <fill>
      <patternFill patternType="solid">
        <fgColor rgb="004472C4"/>
        <bgColor rgb="004472C4"/>
      </patternFill>
    </fill>
    <fill>
      <patternFill patternType="solid">
        <fgColor rgb="00FFCCCC"/>
        <bgColor rgb="00FFCCCC"/>
      </patternFill>
    </fill>
    <fill>
      <patternFill patternType="solid">
        <fgColor rgb="00FFE6CC"/>
        <bgColor rgb="00FFE6CC"/>
      </patternFill>
    </fill>
    <fill>
      <patternFill patternType="solid">
        <fgColor rgb="00FFFFE0"/>
        <bgColor rgb="00FFFFE0"/>
      </patternFill>
    </fill>
    <fill>
      <patternFill patternType="solid">
        <fgColor rgb="00E2EFDA"/>
        <bgColor rgb="00E2EFDA"/>
      </patternFill>
    </fill>
    <fill>
      <patternFill patternType="solid">
        <fgColor rgb="00D9D9D9"/>
        <bgColor rgb="00D9D9D9"/>
      </patternFill>
    </fill>
    <fill>
      <patternFill patternType="solid">
        <fgColor rgb="00FFFFFF"/>
        <bgColor rgb="00FFFFFF"/>
      </patternFill>
    </fill>
    <fill>
      <patternFill patternType="solid">
        <fgColor rgb="00FFC7CE"/>
        <bgColor rgb="00FFC7CE"/>
      </patternFill>
    </fill>
    <fill>
      <patternFill patternType="solid">
        <fgColor rgb="00C6EFCE"/>
        <bgColor rgb="00C6EFCE"/>
      </patternFill>
    </fill>
    <fill>
      <patternFill patternType="solid">
        <fgColor rgb="00FFEB9C"/>
        <bgColor rgb="00FFEB9C"/>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3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0" borderId="1" applyAlignment="1" pivotButton="0" quotePrefix="0" xfId="0">
      <alignment vertical="top" wrapText="1"/>
    </xf>
    <xf numFmtId="0" fontId="3" fillId="0" borderId="0" pivotButton="0" quotePrefix="0" xfId="0"/>
    <xf numFmtId="0" fontId="2" fillId="8" borderId="1" applyAlignment="1" pivotButton="0" quotePrefix="0" xfId="0">
      <alignment horizontal="center" vertical="center"/>
    </xf>
    <xf numFmtId="0" fontId="2" fillId="9" borderId="1" applyAlignment="1" pivotButton="0" quotePrefix="0" xfId="0">
      <alignment horizontal="center" vertical="center"/>
    </xf>
    <xf numFmtId="0" fontId="2" fillId="10" borderId="1" applyAlignment="1" pivotButton="0" quotePrefix="0" xfId="0">
      <alignment horizontal="center" vertical="center"/>
    </xf>
    <xf numFmtId="0" fontId="2" fillId="11" borderId="1" applyAlignment="1" pivotButton="0" quotePrefix="0" xfId="0">
      <alignment horizontal="center" vertical="center"/>
    </xf>
    <xf numFmtId="0" fontId="2" fillId="10" borderId="1" applyAlignment="1" pivotButton="0" quotePrefix="0" xfId="0">
      <alignment vertical="top" wrapText="1"/>
    </xf>
    <xf numFmtId="0" fontId="2" fillId="11" borderId="1" applyAlignment="1" pivotButton="0" quotePrefix="0" xfId="0">
      <alignment vertical="top" wrapText="1"/>
    </xf>
    <xf numFmtId="0" fontId="2" fillId="9" borderId="1" applyAlignment="1" pivotButton="0" quotePrefix="0" xfId="0">
      <alignment vertical="top" wrapText="1"/>
    </xf>
    <xf numFmtId="0" fontId="4" fillId="2" borderId="0" applyAlignment="1" pivotButton="0" quotePrefix="0" xfId="0">
      <alignment horizontal="center" vertical="center"/>
    </xf>
    <xf numFmtId="0" fontId="5" fillId="0" borderId="0" pivotButton="0" quotePrefix="0" xfId="0"/>
    <xf numFmtId="0" fontId="1" fillId="2" borderId="0" pivotButton="0" quotePrefix="0" xfId="0"/>
    <xf numFmtId="164" fontId="0" fillId="0" borderId="0" pivotButton="0" quotePrefix="0" xfId="0"/>
    <xf numFmtId="9" fontId="0" fillId="0" borderId="0" pivotButton="0" quotePrefix="0" xfId="0"/>
    <xf numFmtId="2" fontId="0" fillId="0" borderId="0" pivotButton="0" quotePrefix="0" xfId="0"/>
    <xf numFmtId="0" fontId="6" fillId="0" borderId="0" pivotButton="0" quotePrefix="0" xfId="0"/>
    <xf numFmtId="164" fontId="6" fillId="4"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1" fillId="1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2" customWidth="1" min="3" max="3"/>
    <col width="16" customWidth="1" min="4" max="4"/>
    <col width="18" customWidth="1" min="5" max="5"/>
    <col width="12" customWidth="1" min="6" max="6"/>
    <col width="30" customWidth="1" min="7" max="7"/>
    <col width="35" customWidth="1" min="8" max="8"/>
    <col width="30" customWidth="1" min="9" max="9"/>
    <col width="35" customWidth="1" min="10" max="10"/>
  </cols>
  <sheetData>
    <row r="1">
      <c r="A1" s="1" t="inlineStr">
        <is>
          <t>ID</t>
        </is>
      </c>
      <c r="B1" s="1" t="inlineStr">
        <is>
          <t>Title</t>
        </is>
      </c>
      <c r="C1" s="1" t="inlineStr">
        <is>
          <t>Severity</t>
        </is>
      </c>
      <c r="D1" s="1" t="inlineStr">
        <is>
          <t>Category</t>
        </is>
      </c>
      <c r="E1" s="1" t="inlineStr">
        <is>
          <t>Status</t>
        </is>
      </c>
      <c r="F1" s="1" t="inlineStr">
        <is>
          <t>First Found</t>
        </is>
      </c>
      <c r="G1" s="1" t="inlineStr">
        <is>
          <t>Dev Claim</t>
        </is>
      </c>
      <c r="H1" s="1" t="inlineStr">
        <is>
          <t>V18 Reality</t>
        </is>
      </c>
      <c r="I1" s="1" t="inlineStr">
        <is>
          <t>Evidence</t>
        </is>
      </c>
      <c r="J1" s="1" t="inlineStr">
        <is>
          <t>Recommendation</t>
        </is>
      </c>
    </row>
    <row r="2">
      <c r="A2" s="2" t="inlineStr">
        <is>
          <t>V13-002</t>
        </is>
      </c>
      <c r="B2" s="2" t="inlineStr">
        <is>
          <t>Admin Role Stored in localStorage</t>
        </is>
      </c>
      <c r="C2" s="2" t="inlineStr">
        <is>
          <t>CRITICAL</t>
        </is>
      </c>
      <c r="D2" s="2" t="inlineStr">
        <is>
          <t>Security</t>
        </is>
      </c>
      <c r="E2" s="2" t="inlineStr">
        <is>
          <t>OPEN</t>
        </is>
      </c>
      <c r="F2" s="2" t="inlineStr">
        <is>
          <t>v13</t>
        </is>
      </c>
      <c r="G2" s="2" t="inlineStr">
        <is>
          <t>Zustand partialize interceptor purges role objects on boot</t>
        </is>
      </c>
      <c r="H2" s="2" t="inlineStr">
        <is>
          <t>NOT FIXED — localStorage still contains isAdmin:true in cardvault-auth-storage, userRole:ADMIN, and cardvault_user with isAdmin:true. cv_session token also persists. Zustand partialize NOT working.</t>
        </is>
      </c>
      <c r="I2" s="2" t="inlineStr">
        <is>
          <t>localStorage keys: cardvault-auth-storage={state:{user:{isAdmin:true,role:ADMIN}}}, cardvault_user={isAdmin:true}, cv_session=26jo2e3fxqn</t>
        </is>
      </c>
      <c r="J2" s="2" t="inlineStr">
        <is>
          <t>Remove ALL role/permission data from client storage. Admin authorization must ONLY rely on server-side HttpOnly cookie verification via requireAdminAuth().</t>
        </is>
      </c>
    </row>
    <row r="3">
      <c r="A3" s="3" t="inlineStr">
        <is>
          <t>V13-009</t>
        </is>
      </c>
      <c r="B3" s="3" t="inlineStr">
        <is>
          <t>Grade Badge Contradicts Slab Image</t>
        </is>
      </c>
      <c r="C3" s="3" t="inlineStr">
        <is>
          <t>HIGH</t>
        </is>
      </c>
      <c r="D3" s="3" t="inlineStr">
        <is>
          <t>Data Integrity</t>
        </is>
      </c>
      <c r="E3" s="3" t="inlineStr">
        <is>
          <t>OPEN (WORSENED)</t>
        </is>
      </c>
      <c r="F3" s="3" t="inlineStr">
        <is>
          <t>v13</t>
        </is>
      </c>
      <c r="G3" s="3" t="inlineStr">
        <is>
          <t>Ran Prisma update rewriting grade:10, gradingCompany:PSA uniformly across DB</t>
        </is>
      </c>
      <c r="H3" s="3" t="inlineStr">
        <is>
          <t>STILL BROKEN — Contradiction reversed. Badge and Card Details now say 'PSA 10' but slab image clearly shows 'UGA' (Ultimate Grading Authority) branding. Dev changed DB data without updating the slab image. Original issue: UGA 9 badge on slab. Now: PSA 10 badge on UGA slab.</t>
        </is>
      </c>
      <c r="I3" s="3" t="inlineStr">
        <is>
          <t>Card detail page text: 'Condition: Graded (PSA 10)'. Slab image label: 'ULTIMATE GRADING AUTHORITY (UGA)', '10 GEM MINT'. Card footer: 'UGA 1993'</t>
        </is>
      </c>
      <c r="J3" s="3" t="inlineStr">
        <is>
          <t>Either update slab images to match PSA grading, OR revert DB to UGA grading company and fix grade number only.</t>
        </is>
      </c>
    </row>
    <row r="4">
      <c r="A4" s="3" t="inlineStr">
        <is>
          <t>V13-010</t>
        </is>
      </c>
      <c r="B4" s="3" t="inlineStr">
        <is>
          <t>Completed Transaction Listing Still Active</t>
        </is>
      </c>
      <c r="C4" s="3" t="inlineStr">
        <is>
          <t>HIGH</t>
        </is>
      </c>
      <c r="D4" s="3" t="inlineStr">
        <is>
          <t>Data Integrity</t>
        </is>
      </c>
      <c r="E4" s="3" t="inlineStr">
        <is>
          <t>OPEN</t>
        </is>
      </c>
      <c r="F4" s="3" t="inlineStr">
        <is>
          <t>v13</t>
        </is>
      </c>
      <c r="G4" s="3" t="inlineStr">
        <is>
          <t>Force-ran historic patch migrating lingering transactions to sold</t>
        </is>
      </c>
      <c r="H4" s="3" t="inlineStr">
        <is>
          <t>NOT FIXED — All 4 listings in admin show 'active' status. Ohtani (9b6de645) should be 'sold' after the claimed completed transaction with John Collector.</t>
        </is>
      </c>
      <c r="I4" s="3" t="inlineStr">
        <is>
          <t>Admin Listings page: Black Lotus=active, Ohtani=active, Blue-Eyes=active, Charizard=active</t>
        </is>
      </c>
      <c r="J4" s="3" t="inlineStr">
        <is>
          <t>Run actual DB migration to set Ohtani listing status to 'sold' and create corresponding transaction record.</t>
        </is>
      </c>
    </row>
    <row r="5">
      <c r="A5" s="4" t="inlineStr">
        <is>
          <t>V13-011</t>
        </is>
      </c>
      <c r="B5" s="4" t="inlineStr">
        <is>
          <t>Date Format Inconsistency</t>
        </is>
      </c>
      <c r="C5" s="4" t="inlineStr">
        <is>
          <t>MEDIUM</t>
        </is>
      </c>
      <c r="D5" s="4" t="inlineStr">
        <is>
          <t>UX</t>
        </is>
      </c>
      <c r="E5" s="4" t="inlineStr">
        <is>
          <t>UNVERIFIABLE</t>
        </is>
      </c>
      <c r="F5" s="4" t="inlineStr">
        <is>
          <t>v13</t>
        </is>
      </c>
      <c r="G5" s="4" t="inlineStr">
        <is>
          <t>Hard synchronized UI time formats</t>
        </is>
      </c>
      <c r="H5" s="4" t="inlineStr">
        <is>
          <t>Cannot verify — Financials page shows no transaction data. Transactions page shows 'All (0)'. Admin listings show '03 Apr 2026' format (en-GB). Need consumer transaction views to cross-check.</t>
        </is>
      </c>
      <c r="I5" s="4" t="inlineStr">
        <is>
          <t>Financials: empty, Transactions: All (0), Listings date: '03 Apr 2026'</t>
        </is>
      </c>
      <c r="J5" s="4" t="inlineStr">
        <is>
          <t>Ensure consistent date format across all pages (admin listings, transactions, consumer history, activity log).</t>
        </is>
      </c>
    </row>
    <row r="6">
      <c r="A6" s="2" t="inlineStr">
        <is>
          <t>V13-012</t>
        </is>
      </c>
      <c r="B6" s="2" t="inlineStr">
        <is>
          <t>No KYC Enforcement on High-Value Transaction</t>
        </is>
      </c>
      <c r="C6" s="2" t="inlineStr">
        <is>
          <t>CRITICAL</t>
        </is>
      </c>
      <c r="D6" s="2" t="inlineStr">
        <is>
          <t>Compliance</t>
        </is>
      </c>
      <c r="E6" s="2" t="inlineStr">
        <is>
          <t>OPEN (DATA INCONSISTENCY)</t>
        </is>
      </c>
      <c r="F6" s="2" t="inlineStr">
        <is>
          <t>v13</t>
        </is>
      </c>
      <c r="G6" s="2" t="inlineStr">
        <is>
          <t>Retrospectively set TX to cancelled via Prisma</t>
        </is>
      </c>
      <c r="H6" s="2" t="inlineStr">
        <is>
          <t>NOT FIXED — Dashboard still shows John Collector as UNVERIFIED user with Rp 25,000,000 completed transaction. However, Transactions page shows 'All (0)' — zero transactions listed. This data inconsistency suggests the dashboard widget and transactions table use different data sources.</t>
        </is>
      </c>
      <c r="I6" s="2" t="inlineStr">
        <is>
          <t>Dashboard: John Collector, UNVERIFIED, Rp 25M completed. Transactions page: All (0)</t>
        </is>
      </c>
      <c r="J6" s="2" t="inlineStr">
        <is>
          <t>1) Cancel or void the unverified high-value transaction. 2) Fix data inconsistency between dashboard widget and transactions table. 3) Implement server-side KYC check blocking any transaction &gt;Rp 10M for unverified users.</t>
        </is>
      </c>
    </row>
    <row r="7">
      <c r="A7" s="4" t="inlineStr">
        <is>
          <t>V14-002</t>
        </is>
      </c>
      <c r="B7" s="4" t="inlineStr">
        <is>
          <t>Ohtani Card Image Mismatch</t>
        </is>
      </c>
      <c r="C7" s="4" t="inlineStr">
        <is>
          <t>MEDIUM</t>
        </is>
      </c>
      <c r="D7" s="4" t="inlineStr">
        <is>
          <t>Data Integrity</t>
        </is>
      </c>
      <c r="E7" s="4" t="inlineStr">
        <is>
          <t>UNVERIFIABLE</t>
        </is>
      </c>
      <c r="F7" s="4" t="inlineStr">
        <is>
          <t>v14</t>
        </is>
      </c>
      <c r="G7" s="4" t="inlineStr">
        <is>
          <t>Overridden card.images[] to accurate S3 Magic/Ohtani URIs</t>
        </is>
      </c>
      <c r="H7" s="4" t="inlineStr">
        <is>
          <t>Could not navigate to Ohtani card detail on consumer — page load issues prevented verification. Admin listings confirm Ohtani still listed as 'active' (should be sold).</t>
        </is>
      </c>
      <c r="I7" s="4" t="inlineStr">
        <is>
          <t>Consumer site experienced renderer freezing when navigating to card detail pages</t>
        </is>
      </c>
      <c r="J7" s="4" t="inlineStr">
        <is>
          <t>Verify S3 image URIs are correctly mapped. Fix consumer site rendering stability.</t>
        </is>
      </c>
    </row>
    <row r="8">
      <c r="A8" s="4" t="inlineStr">
        <is>
          <t>V14-005</t>
        </is>
      </c>
      <c r="B8" s="4" t="inlineStr">
        <is>
          <t>Admin CORS Missing Admin Domain</t>
        </is>
      </c>
      <c r="C8" s="4" t="inlineStr">
        <is>
          <t>MEDIUM</t>
        </is>
      </c>
      <c r="D8" s="4" t="inlineStr">
        <is>
          <t>Security</t>
        </is>
      </c>
      <c r="E8" s="4" t="inlineStr">
        <is>
          <t>LIKELY OPEN</t>
        </is>
      </c>
      <c r="F8" s="4" t="inlineStr">
        <is>
          <t>v14</t>
        </is>
      </c>
      <c r="G8" s="4" t="inlineStr">
        <is>
          <t>Middleware rewritten to check host === admin.cardvault.id explicitly</t>
        </is>
      </c>
      <c r="H8" s="4" t="inlineStr">
        <is>
          <t>Could not capture CORS headers via JS (fetch calls hang indefinitely). Based on v17 data, CORS was access-control-allow-origin: https://beta.cardvault.id — missing admin domain. Dev claim of middleware rewrite not verifiable but V17-004/V17-005 404s suggest middleware changes were NOT deployed.</t>
        </is>
      </c>
      <c r="I8" s="4" t="inlineStr">
        <is>
          <t>V17-004 and V17-005 still return 404 despite claimed middleware.ts changes, suggesting middleware was not actually updated</t>
        </is>
      </c>
      <c r="J8" s="4" t="inlineStr">
        <is>
          <t>Add https://admin.cardvault.id to CORS allowed origins. Verify middleware.ts changes are actually deployed to Vercel.</t>
        </is>
      </c>
    </row>
    <row r="9">
      <c r="A9" s="5" t="inlineStr">
        <is>
          <t>V17-001</t>
        </is>
      </c>
      <c r="B9" s="5" t="inlineStr">
        <is>
          <t>Home Page TTFB Regression</t>
        </is>
      </c>
      <c r="C9" s="5" t="inlineStr">
        <is>
          <t>LOW</t>
        </is>
      </c>
      <c r="D9" s="5" t="inlineStr">
        <is>
          <t>Performance</t>
        </is>
      </c>
      <c r="E9" s="5" t="inlineStr">
        <is>
          <t>IMPROVED</t>
        </is>
      </c>
      <c r="F9" s="5" t="inlineStr">
        <is>
          <t>v17</t>
        </is>
      </c>
      <c r="G9" s="5" t="inlineStr">
        <is>
          <t>Accepted cache busting constraints natively</t>
        </is>
      </c>
      <c r="H9" s="5" t="inlineStr">
        <is>
          <t>IMPROVED — Home TTFB recovered to ~371ms (from 740ms in v17, comparable to v16's 379ms). However, home page rendering causes browser tab to freeze intermittently.</t>
        </is>
      </c>
      <c r="I9" s="5" t="inlineStr">
        <is>
          <t>Navigation Timing API: TTFB ~371ms on home, 369ms on explore</t>
        </is>
      </c>
      <c r="J9" s="5" t="inlineStr">
        <is>
          <t>Monitor TTFB stability. Investigate home page rendering freeze.</t>
        </is>
      </c>
    </row>
    <row r="10">
      <c r="A10" s="4" t="inlineStr">
        <is>
          <t>V17-002</t>
        </is>
      </c>
      <c r="B10" s="4" t="inlineStr">
        <is>
          <t>Explore Card Image Placeholders</t>
        </is>
      </c>
      <c r="C10" s="4" t="inlineStr">
        <is>
          <t>MEDIUM</t>
        </is>
      </c>
      <c r="D10" s="4" t="inlineStr">
        <is>
          <t>UX</t>
        </is>
      </c>
      <c r="E10" s="4" t="inlineStr">
        <is>
          <t>OPEN</t>
        </is>
      </c>
      <c r="F10" s="4" t="inlineStr">
        <is>
          <t>v17</t>
        </is>
      </c>
      <c r="G10" s="4" t="inlineStr">
        <is>
          <t>Related to Next/Image optimization rules on unverified origins</t>
        </is>
      </c>
      <c r="H10" s="4" t="inlineStr">
        <is>
          <t>NOT FIXED — Card images on Explore page still show blue placeholder blocks instead of actual card images.</t>
        </is>
      </c>
      <c r="I10" s="4" t="inlineStr">
        <is>
          <t>Visual observation from explore page screenshots</t>
        </is>
      </c>
      <c r="J10" s="4" t="inlineStr">
        <is>
          <t>Add card image domains to next.config.js images.remotePatterns. Verify S3 bucket CORS allows image loading.</t>
        </is>
      </c>
    </row>
    <row r="11">
      <c r="A11" s="5" t="inlineStr">
        <is>
          <t>V17-003</t>
        </is>
      </c>
      <c r="B11" s="5" t="inlineStr">
        <is>
          <t>/api/views Endpoint Regression</t>
        </is>
      </c>
      <c r="C11" s="5" t="inlineStr">
        <is>
          <t>LOW</t>
        </is>
      </c>
      <c r="D11" s="5" t="inlineStr">
        <is>
          <t>Performance</t>
        </is>
      </c>
      <c r="E11" s="5" t="inlineStr">
        <is>
          <t>NOT TESTED</t>
        </is>
      </c>
      <c r="F11" s="5" t="inlineStr">
        <is>
          <t>v17</t>
        </is>
      </c>
      <c r="G11" s="5" t="inlineStr">
        <is>
          <t>Verified Edge lambda cold start variances</t>
        </is>
      </c>
      <c r="H11" s="5" t="inlineStr">
        <is>
          <t>Not directly tested in v18 due to consumer site instability.</t>
        </is>
      </c>
      <c r="I11" s="5" t="inlineStr"/>
      <c r="J11" s="5" t="inlineStr">
        <is>
          <t>Monitor API response times. Implement edge caching for view count endpoints.</t>
        </is>
      </c>
    </row>
    <row r="12">
      <c r="A12" s="4" t="inlineStr">
        <is>
          <t>V17-004</t>
        </is>
      </c>
      <c r="B12" s="4" t="inlineStr">
        <is>
          <t>Admin /admin/dashboard Returns 404</t>
        </is>
      </c>
      <c r="C12" s="4" t="inlineStr">
        <is>
          <t>MEDIUM</t>
        </is>
      </c>
      <c r="D12" s="4" t="inlineStr">
        <is>
          <t>Functional</t>
        </is>
      </c>
      <c r="E12" s="4" t="inlineStr">
        <is>
          <t>OPEN</t>
        </is>
      </c>
      <c r="F12" s="4" t="inlineStr">
        <is>
          <t>v17</t>
        </is>
      </c>
      <c r="G12" s="4" t="inlineStr">
        <is>
          <t>Inserted strict routing block into middleware.ts bouncing legacy deep links into /admin</t>
        </is>
      </c>
      <c r="H12" s="4" t="inlineStr">
        <is>
          <t>NOT FIXED — Direct navigation to /admin/dashboard still returns 404. Middleware redirect was NOT deployed.</t>
        </is>
      </c>
      <c r="I12" s="4" t="inlineStr">
        <is>
          <t>Network request: GET /admin/dashboard → 404. Tab title: '404: This page could not be found.'</t>
        </is>
      </c>
      <c r="J12" s="4" t="inlineStr">
        <is>
          <t>Add redirect rule in middleware.ts or next.config.js: /admin/dashboard → /admin</t>
        </is>
      </c>
    </row>
    <row r="13">
      <c r="A13" s="5" t="inlineStr">
        <is>
          <t>V17-005</t>
        </is>
      </c>
      <c r="B13" s="5" t="inlineStr">
        <is>
          <t>Admin /admin/promo-banners Returns 404</t>
        </is>
      </c>
      <c r="C13" s="5" t="inlineStr">
        <is>
          <t>LOW</t>
        </is>
      </c>
      <c r="D13" s="5" t="inlineStr">
        <is>
          <t>Functional</t>
        </is>
      </c>
      <c r="E13" s="5" t="inlineStr">
        <is>
          <t>OPEN</t>
        </is>
      </c>
      <c r="F13" s="5" t="inlineStr">
        <is>
          <t>v17</t>
        </is>
      </c>
      <c r="G13" s="5" t="inlineStr">
        <is>
          <t>Redirect placed directly in middleware.ts</t>
        </is>
      </c>
      <c r="H13" s="5" t="inlineStr">
        <is>
          <t>NOT FIXED — Direct navigation to /admin/promo-banners still returns 404. Correct URL is /admin/banners.</t>
        </is>
      </c>
      <c r="I13" s="5" t="inlineStr">
        <is>
          <t>Navigation to /admin/promo-banners → 404 page</t>
        </is>
      </c>
      <c r="J13" s="5" t="inlineStr">
        <is>
          <t>Add redirect: /admin/promo-banners → /admin/banners</t>
        </is>
      </c>
    </row>
    <row r="14">
      <c r="A14" s="6" t="inlineStr">
        <is>
          <t>V17-006</t>
        </is>
      </c>
      <c r="B14" s="6" t="inlineStr">
        <is>
          <t>server: Vercel Header Exposed</t>
        </is>
      </c>
      <c r="C14" s="6" t="inlineStr">
        <is>
          <t>INFO</t>
        </is>
      </c>
      <c r="D14" s="6" t="inlineStr">
        <is>
          <t>Security</t>
        </is>
      </c>
      <c r="E14" s="6" t="inlineStr">
        <is>
          <t>OPEN (ACCEPTED)</t>
        </is>
      </c>
      <c r="F14" s="6" t="inlineStr">
        <is>
          <t>v17</t>
        </is>
      </c>
      <c r="G14" s="6" t="inlineStr"/>
      <c r="H14" s="6" t="inlineStr">
        <is>
          <t>Still present — Vercel edge networks expose this by default. Informational only.</t>
        </is>
      </c>
      <c r="I14" s="6" t="inlineStr"/>
      <c r="J14" s="6" t="inlineStr">
        <is>
          <t>Accept or configure Vercel to suppress server header if possible.</t>
        </is>
      </c>
    </row>
    <row r="15">
      <c r="A15" s="3" t="inlineStr">
        <is>
          <t>V18-001</t>
        </is>
      </c>
      <c r="B15" s="3" t="inlineStr">
        <is>
          <t>Consumer Home Page Causes Browser Tab Freeze</t>
        </is>
      </c>
      <c r="C15" s="3" t="inlineStr">
        <is>
          <t>HIGH</t>
        </is>
      </c>
      <c r="D15" s="3" t="inlineStr">
        <is>
          <t>Performance</t>
        </is>
      </c>
      <c r="E15" s="3" t="inlineStr">
        <is>
          <t>NEW</t>
        </is>
      </c>
      <c r="F15" s="3" t="inlineStr">
        <is>
          <t>v18</t>
        </is>
      </c>
      <c r="G15" s="3" t="inlineStr"/>
      <c r="H15" s="3" t="inlineStr">
        <is>
          <t>Navigating to beta.cardvault.id home page intermittently freezes the browser renderer. CDP commands timeout after 45s. Service worker may be interfering with page rendering pipeline.</t>
        </is>
      </c>
      <c r="I15" s="3" t="inlineStr">
        <is>
          <t>Multiple CDP Runtime.evaluate timeouts (45000ms) on home page. Screenshot capture fails consistently.</t>
        </is>
      </c>
      <c r="J15" s="3" t="inlineStr">
        <is>
          <t>Audit service worker registration and caching strategy. Check for heavy synchronous operations in home page components. Profile with Chrome DevTools Performance panel.</t>
        </is>
      </c>
    </row>
    <row r="16">
      <c r="A16" s="3" t="inlineStr">
        <is>
          <t>V18-002</t>
        </is>
      </c>
      <c r="B16" s="3" t="inlineStr">
        <is>
          <t>Explore Listings Tab Shows 0 Cards</t>
        </is>
      </c>
      <c r="C16" s="3" t="inlineStr">
        <is>
          <t>HIGH</t>
        </is>
      </c>
      <c r="D16" s="3" t="inlineStr">
        <is>
          <t>Functional</t>
        </is>
      </c>
      <c r="E16" s="3" t="inlineStr">
        <is>
          <t>NEW</t>
        </is>
      </c>
      <c r="F16" s="3" t="inlineStr">
        <is>
          <t>v18</t>
        </is>
      </c>
      <c r="G16" s="3" t="inlineStr"/>
      <c r="H16" s="3" t="inlineStr">
        <is>
          <t>Explore page 'Listings' tab displays '0 cards found' despite 4 active listings visible in admin panel. Category tabs (All, Basketball, etc.) all show 0 results. Cards are only accessible via direct UUID deep links.</t>
        </is>
      </c>
      <c r="I16" s="3" t="inlineStr">
        <is>
          <t>Explore page text: '0 cards found'. Admin listings: 4 active cards (Black Lotus, Ohtani, Blue-Eyes, Charizard)</t>
        </is>
      </c>
      <c r="J16" s="3" t="inlineStr">
        <is>
          <t>Debug API endpoint serving explore listings. Check if listings API returns empty array. Verify database query filters match active listing status.</t>
        </is>
      </c>
    </row>
    <row r="17">
      <c r="A17" s="4" t="inlineStr">
        <is>
          <t>V18-003</t>
        </is>
      </c>
      <c r="B17" s="4" t="inlineStr">
        <is>
          <t>Transaction Data Inconsistency Between Dashboard and Transactions Page</t>
        </is>
      </c>
      <c r="C17" s="4" t="inlineStr">
        <is>
          <t>MEDIUM</t>
        </is>
      </c>
      <c r="D17" s="4" t="inlineStr">
        <is>
          <t>Data Integrity</t>
        </is>
      </c>
      <c r="E17" s="4" t="inlineStr">
        <is>
          <t>NEW</t>
        </is>
      </c>
      <c r="F17" s="4" t="inlineStr">
        <is>
          <t>v18</t>
        </is>
      </c>
      <c r="G17" s="4" t="inlineStr"/>
      <c r="H17" s="4" t="inlineStr">
        <is>
          <t>Admin Dashboard widget shows John Collector with completed Rp 25M transaction, but Transactions page shows 'All (0)' — zero transactions. These two views are sourcing different data or the transactions query has a bug.</t>
        </is>
      </c>
      <c r="I17" s="4" t="inlineStr">
        <is>
          <t>Dashboard: John Collector Rp 25,000,000 completed. Transactions page: All (0)</t>
        </is>
      </c>
      <c r="J17" s="4" t="inlineStr">
        <is>
          <t>Ensure dashboard widget and transactions table query the same data source. Debug the transactions listing query.</t>
        </is>
      </c>
    </row>
    <row r="18">
      <c r="A18" s="4" t="inlineStr">
        <is>
          <t>V18-004</t>
        </is>
      </c>
      <c r="B18" s="4" t="inlineStr">
        <is>
          <t>Consumer Async Network Calls Hang Indefinitely</t>
        </is>
      </c>
      <c r="C18" s="4" t="inlineStr">
        <is>
          <t>MEDIUM</t>
        </is>
      </c>
      <c r="D18" s="4" t="inlineStr">
        <is>
          <t>Performance</t>
        </is>
      </c>
      <c r="E18" s="4" t="inlineStr">
        <is>
          <t>NEW</t>
        </is>
      </c>
      <c r="F18" s="4" t="inlineStr">
        <is>
          <t>v18</t>
        </is>
      </c>
      <c r="G18" s="4" t="inlineStr"/>
      <c r="H18" s="4" t="inlineStr">
        <is>
          <t>fetch() and XMLHttpRequest calls on the consumer domain hang without resolving or rejecting. Window variables set in async callbacks never populate. Possible service worker interception or network layer issue.</t>
        </is>
      </c>
      <c r="I18" s="4" t="inlineStr">
        <is>
          <t>Multiple fetch/XHR attempts to /api/listings and HEAD requests all failed to complete. document.title assignments in callbacks never executed.</t>
        </is>
      </c>
      <c r="J18" s="4" t="inlineStr">
        <is>
          <t>Review service worker fetch event handler. Check for infinite redirect loops or hanging promises in API routes.</t>
        </is>
      </c>
    </row>
  </sheetData>
  <autoFilter ref="A1:J1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18" customWidth="1" min="3" max="3"/>
    <col width="35" customWidth="1" min="4" max="4"/>
  </cols>
  <sheetData>
    <row r="1">
      <c r="A1" s="1" t="inlineStr">
        <is>
          <t>Claim ID</t>
        </is>
      </c>
      <c r="B1" s="1" t="inlineStr">
        <is>
          <t>Dev Claim</t>
        </is>
      </c>
      <c r="C1" s="1" t="inlineStr">
        <is>
          <t>Verification Status</t>
        </is>
      </c>
      <c r="D1" s="1" t="inlineStr">
        <is>
          <t>Evidence</t>
        </is>
      </c>
    </row>
    <row r="2">
      <c r="A2" s="7" t="inlineStr">
        <is>
          <t>V13-002</t>
        </is>
      </c>
      <c r="B2" s="7" t="inlineStr">
        <is>
          <t>Zustand partialize interceptor purges role objects</t>
        </is>
      </c>
      <c r="C2" s="7" t="inlineStr">
        <is>
          <t>FALSE</t>
        </is>
      </c>
      <c r="D2" s="7" t="inlineStr">
        <is>
          <t>localStorage still has isAdmin:true, userRole:ADMIN</t>
        </is>
      </c>
    </row>
    <row r="3">
      <c r="A3" s="7" t="inlineStr">
        <is>
          <t>V13-009</t>
        </is>
      </c>
      <c r="B3" s="7" t="inlineStr">
        <is>
          <t>Prisma update to grade:10 gradingCompany:PSA</t>
        </is>
      </c>
      <c r="C3" s="7" t="inlineStr">
        <is>
          <t>FALSE (WORSENED)</t>
        </is>
      </c>
      <c r="D3" s="7" t="inlineStr">
        <is>
          <t>Badge says PSA 10 but slab image shows UGA</t>
        </is>
      </c>
    </row>
    <row r="4">
      <c r="A4" s="7" t="inlineStr">
        <is>
          <t>V13-010</t>
        </is>
      </c>
      <c r="B4" s="7" t="inlineStr">
        <is>
          <t>Historic patch migrating transactions to sold</t>
        </is>
      </c>
      <c r="C4" s="7" t="inlineStr">
        <is>
          <t>FALSE</t>
        </is>
      </c>
      <c r="D4" s="7" t="inlineStr">
        <is>
          <t>All 4 listings still active</t>
        </is>
      </c>
    </row>
    <row r="5">
      <c r="A5" s="7" t="inlineStr">
        <is>
          <t>V13-011</t>
        </is>
      </c>
      <c r="B5" s="7" t="inlineStr">
        <is>
          <t>Hard synchronized UI time formats</t>
        </is>
      </c>
      <c r="C5" s="7" t="inlineStr">
        <is>
          <t>UNVERIFIABLE</t>
        </is>
      </c>
      <c r="D5" s="7" t="inlineStr">
        <is>
          <t>No transaction data to compare</t>
        </is>
      </c>
    </row>
    <row r="6">
      <c r="A6" s="7" t="inlineStr">
        <is>
          <t>V13-012</t>
        </is>
      </c>
      <c r="B6" s="7" t="inlineStr">
        <is>
          <t>Retrospectively set TX to cancelled via Prisma</t>
        </is>
      </c>
      <c r="C6" s="7" t="inlineStr">
        <is>
          <t>FALSE</t>
        </is>
      </c>
      <c r="D6" s="7" t="inlineStr">
        <is>
          <t>Dashboard still shows completed transaction, TX page shows 0</t>
        </is>
      </c>
    </row>
    <row r="7">
      <c r="A7" s="7" t="inlineStr">
        <is>
          <t>V14-002</t>
        </is>
      </c>
      <c r="B7" s="7" t="inlineStr">
        <is>
          <t>Overridden card.images[] to S3 URIs</t>
        </is>
      </c>
      <c r="C7" s="7" t="inlineStr">
        <is>
          <t>UNVERIFIABLE</t>
        </is>
      </c>
      <c r="D7" s="7" t="inlineStr">
        <is>
          <t>Consumer site instability prevented verification</t>
        </is>
      </c>
    </row>
    <row r="8">
      <c r="A8" s="7" t="inlineStr">
        <is>
          <t>V14-005</t>
        </is>
      </c>
      <c r="B8" s="7" t="inlineStr">
        <is>
          <t>Middleware rewritten for admin CORS</t>
        </is>
      </c>
      <c r="C8" s="7" t="inlineStr">
        <is>
          <t>FALSE (INFERRED)</t>
        </is>
      </c>
      <c r="D8" s="7" t="inlineStr">
        <is>
          <t>V17-004/005 still 404 suggests middleware not updated</t>
        </is>
      </c>
    </row>
    <row r="9">
      <c r="A9" s="7" t="inlineStr">
        <is>
          <t>V17-004</t>
        </is>
      </c>
      <c r="B9" s="7" t="inlineStr">
        <is>
          <t>Strict routing block in middleware.ts for legacy deep links</t>
        </is>
      </c>
      <c r="C9" s="7" t="inlineStr">
        <is>
          <t>FALSE</t>
        </is>
      </c>
      <c r="D9" s="7" t="inlineStr">
        <is>
          <t>/admin/dashboard returns 404</t>
        </is>
      </c>
    </row>
    <row r="10">
      <c r="A10" s="7" t="inlineStr">
        <is>
          <t>V17-005</t>
        </is>
      </c>
      <c r="B10" s="7" t="inlineStr">
        <is>
          <t>Redirect placed in middleware.ts</t>
        </is>
      </c>
      <c r="C10" s="7" t="inlineStr">
        <is>
          <t>FALSE</t>
        </is>
      </c>
      <c r="D10" s="7" t="inlineStr">
        <is>
          <t>/admin/promo-banners returns 404</t>
        </is>
      </c>
    </row>
    <row r="11">
      <c r="A11" s="7" t="inlineStr">
        <is>
          <t>V15-001</t>
        </is>
      </c>
      <c r="B11" s="7" t="inlineStr">
        <is>
          <t>Cert# 84720931 matches slab</t>
        </is>
      </c>
      <c r="C11" s="7" t="inlineStr">
        <is>
          <t>TRUE</t>
        </is>
      </c>
      <c r="D11" s="7" t="inlineStr">
        <is>
          <t>Card detail shows Cert #: 84720931 (Verify)</t>
        </is>
      </c>
    </row>
    <row r="12"/>
    <row r="13">
      <c r="A13" s="8" t="inlineStr">
        <is>
          <t>Accuracy Rate:</t>
        </is>
      </c>
      <c r="B13" s="8">
        <f>COUNTIF(C2:C11,"TRUE")/10&amp;"%"</f>
        <v/>
      </c>
    </row>
  </sheetData>
  <autoFilter ref="A1:D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8" customWidth="1" min="3" max="3"/>
    <col width="15" customWidth="1" min="4" max="4"/>
  </cols>
  <sheetData>
    <row r="1">
      <c r="A1" s="1" t="inlineStr">
        <is>
          <t>Finding ID</t>
        </is>
      </c>
      <c r="B1" s="1" t="inlineStr">
        <is>
          <t>V17 Status</t>
        </is>
      </c>
      <c r="C1" s="1" t="inlineStr">
        <is>
          <t>V18 Status</t>
        </is>
      </c>
      <c r="D1" s="1" t="inlineStr">
        <is>
          <t>Change</t>
        </is>
      </c>
    </row>
    <row r="2">
      <c r="A2" s="9" t="inlineStr">
        <is>
          <t>V13-002</t>
        </is>
      </c>
      <c r="B2" s="9" t="inlineStr">
        <is>
          <t>OPEN</t>
        </is>
      </c>
      <c r="C2" s="9" t="inlineStr">
        <is>
          <t>OPEN</t>
        </is>
      </c>
      <c r="D2" s="9" t="inlineStr">
        <is>
          <t>UNCHANGED</t>
        </is>
      </c>
    </row>
    <row r="3">
      <c r="A3" s="10" t="inlineStr">
        <is>
          <t>V13-009</t>
        </is>
      </c>
      <c r="B3" s="10" t="inlineStr">
        <is>
          <t>OPEN</t>
        </is>
      </c>
      <c r="C3" s="10" t="inlineStr">
        <is>
          <t>OPEN</t>
        </is>
      </c>
      <c r="D3" s="10" t="inlineStr">
        <is>
          <t>WORSENED</t>
        </is>
      </c>
    </row>
    <row r="4">
      <c r="A4" s="9" t="inlineStr">
        <is>
          <t>V13-010</t>
        </is>
      </c>
      <c r="B4" s="9" t="inlineStr">
        <is>
          <t>OPEN</t>
        </is>
      </c>
      <c r="C4" s="9" t="inlineStr">
        <is>
          <t>OPEN</t>
        </is>
      </c>
      <c r="D4" s="9" t="inlineStr">
        <is>
          <t>UNCHANGED</t>
        </is>
      </c>
    </row>
    <row r="5">
      <c r="A5" s="9" t="inlineStr">
        <is>
          <t>V13-011</t>
        </is>
      </c>
      <c r="B5" s="9" t="inlineStr">
        <is>
          <t>UNVERIFIABLE</t>
        </is>
      </c>
      <c r="C5" s="9" t="inlineStr">
        <is>
          <t>UNVERIFIABLE</t>
        </is>
      </c>
      <c r="D5" s="9" t="inlineStr">
        <is>
          <t>UNCHANGED</t>
        </is>
      </c>
    </row>
    <row r="6">
      <c r="A6" s="9" t="inlineStr">
        <is>
          <t>V13-012</t>
        </is>
      </c>
      <c r="B6" s="9" t="inlineStr">
        <is>
          <t>OPEN</t>
        </is>
      </c>
      <c r="C6" s="9" t="inlineStr">
        <is>
          <t>OPEN</t>
        </is>
      </c>
      <c r="D6" s="9" t="inlineStr">
        <is>
          <t>UNCHANGED</t>
        </is>
      </c>
    </row>
    <row r="7">
      <c r="A7" s="9" t="inlineStr">
        <is>
          <t>V14-002</t>
        </is>
      </c>
      <c r="B7" s="9" t="inlineStr">
        <is>
          <t>UNVERIFIABLE</t>
        </is>
      </c>
      <c r="C7" s="9" t="inlineStr">
        <is>
          <t>UNVERIFIABLE</t>
        </is>
      </c>
      <c r="D7" s="9" t="inlineStr">
        <is>
          <t>UNCHANGED</t>
        </is>
      </c>
    </row>
    <row r="8">
      <c r="A8" s="9" t="inlineStr">
        <is>
          <t>V14-005</t>
        </is>
      </c>
      <c r="B8" s="9" t="inlineStr">
        <is>
          <t>OPEN</t>
        </is>
      </c>
      <c r="C8" s="9" t="inlineStr">
        <is>
          <t>LIKELY</t>
        </is>
      </c>
      <c r="D8" s="9" t="inlineStr">
        <is>
          <t>UNCHANGED</t>
        </is>
      </c>
    </row>
    <row r="9">
      <c r="A9" s="11" t="inlineStr">
        <is>
          <t>V17-001</t>
        </is>
      </c>
      <c r="B9" s="11" t="inlineStr">
        <is>
          <t>FIXED</t>
        </is>
      </c>
      <c r="C9" s="11" t="inlineStr">
        <is>
          <t>IMPROVED</t>
        </is>
      </c>
      <c r="D9" s="11" t="inlineStr">
        <is>
          <t>IMPROVED</t>
        </is>
      </c>
    </row>
    <row r="10">
      <c r="A10" s="9" t="inlineStr">
        <is>
          <t>V17-002</t>
        </is>
      </c>
      <c r="B10" s="9" t="inlineStr">
        <is>
          <t>OPEN</t>
        </is>
      </c>
      <c r="C10" s="9" t="inlineStr">
        <is>
          <t>OPEN</t>
        </is>
      </c>
      <c r="D10" s="9" t="inlineStr">
        <is>
          <t>UNCHANGED</t>
        </is>
      </c>
    </row>
    <row r="11">
      <c r="A11" s="9" t="inlineStr">
        <is>
          <t>V17-003</t>
        </is>
      </c>
      <c r="B11" s="9" t="inlineStr">
        <is>
          <t>OPEN</t>
        </is>
      </c>
      <c r="C11" s="9" t="inlineStr">
        <is>
          <t>NOT</t>
        </is>
      </c>
      <c r="D11" s="9" t="inlineStr">
        <is>
          <t>UNCHANGED</t>
        </is>
      </c>
    </row>
    <row r="12">
      <c r="A12" s="9" t="inlineStr">
        <is>
          <t>V17-004</t>
        </is>
      </c>
      <c r="B12" s="9" t="inlineStr">
        <is>
          <t>OPEN</t>
        </is>
      </c>
      <c r="C12" s="9" t="inlineStr">
        <is>
          <t>OPEN</t>
        </is>
      </c>
      <c r="D12" s="9" t="inlineStr">
        <is>
          <t>UNCHANGED</t>
        </is>
      </c>
    </row>
    <row r="13">
      <c r="A13" s="9" t="inlineStr">
        <is>
          <t>V17-005</t>
        </is>
      </c>
      <c r="B13" s="9" t="inlineStr">
        <is>
          <t>OPEN</t>
        </is>
      </c>
      <c r="C13" s="9" t="inlineStr">
        <is>
          <t>OPEN</t>
        </is>
      </c>
      <c r="D13" s="9" t="inlineStr">
        <is>
          <t>UNCHANGED</t>
        </is>
      </c>
    </row>
    <row r="14">
      <c r="A14" s="9" t="inlineStr">
        <is>
          <t>V17-006</t>
        </is>
      </c>
      <c r="B14" s="9" t="inlineStr">
        <is>
          <t>OPEN</t>
        </is>
      </c>
      <c r="C14" s="9" t="inlineStr">
        <is>
          <t>OPEN</t>
        </is>
      </c>
      <c r="D14" s="9" t="inlineStr">
        <is>
          <t>UNCHANGED</t>
        </is>
      </c>
    </row>
    <row r="15">
      <c r="A15" s="12" t="inlineStr">
        <is>
          <t>V18-001</t>
        </is>
      </c>
      <c r="B15" s="12" t="inlineStr">
        <is>
          <t>OPEN</t>
        </is>
      </c>
      <c r="C15" s="12" t="inlineStr">
        <is>
          <t>NEW</t>
        </is>
      </c>
      <c r="D15" s="12" t="inlineStr">
        <is>
          <t>NEW</t>
        </is>
      </c>
    </row>
    <row r="16">
      <c r="A16" s="12" t="inlineStr">
        <is>
          <t>V18-002</t>
        </is>
      </c>
      <c r="B16" s="12" t="inlineStr">
        <is>
          <t>OPEN</t>
        </is>
      </c>
      <c r="C16" s="12" t="inlineStr">
        <is>
          <t>NEW</t>
        </is>
      </c>
      <c r="D16" s="12" t="inlineStr">
        <is>
          <t>NEW</t>
        </is>
      </c>
    </row>
    <row r="17">
      <c r="A17" s="12" t="inlineStr">
        <is>
          <t>V18-003</t>
        </is>
      </c>
      <c r="B17" s="12" t="inlineStr">
        <is>
          <t>OPEN</t>
        </is>
      </c>
      <c r="C17" s="12" t="inlineStr">
        <is>
          <t>NEW</t>
        </is>
      </c>
      <c r="D17" s="12" t="inlineStr">
        <is>
          <t>NEW</t>
        </is>
      </c>
    </row>
    <row r="18">
      <c r="A18" s="12" t="inlineStr">
        <is>
          <t>V18-004</t>
        </is>
      </c>
      <c r="B18" s="12" t="inlineStr">
        <is>
          <t>OPEN</t>
        </is>
      </c>
      <c r="C18" s="12" t="inlineStr">
        <is>
          <t>NEW</t>
        </is>
      </c>
      <c r="D18" s="12" t="inlineStr">
        <is>
          <t>NEW</t>
        </is>
      </c>
    </row>
  </sheetData>
  <autoFilter ref="A1:D1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28" customWidth="1" min="3" max="3"/>
    <col width="25" customWidth="1" min="4" max="4"/>
    <col width="30" customWidth="1" min="5" max="5"/>
    <col width="30" customWidth="1" min="6" max="6"/>
    <col width="10" customWidth="1" min="7" max="7"/>
    <col width="15" customWidth="1" min="8" max="8"/>
  </cols>
  <sheetData>
    <row r="1">
      <c r="A1" s="1" t="inlineStr">
        <is>
          <t>TC-ID</t>
        </is>
      </c>
      <c r="B1" s="1" t="inlineStr">
        <is>
          <t>Finding ID</t>
        </is>
      </c>
      <c r="C1" s="1" t="inlineStr">
        <is>
          <t>Test Case Title</t>
        </is>
      </c>
      <c r="D1" s="1" t="inlineStr">
        <is>
          <t>Precondition</t>
        </is>
      </c>
      <c r="E1" s="1" t="inlineStr">
        <is>
          <t>Steps</t>
        </is>
      </c>
      <c r="F1" s="1" t="inlineStr">
        <is>
          <t>Expected Result</t>
        </is>
      </c>
      <c r="G1" s="1" t="inlineStr">
        <is>
          <t>Priority</t>
        </is>
      </c>
      <c r="H1" s="1" t="inlineStr">
        <is>
          <t>Type</t>
        </is>
      </c>
    </row>
    <row r="2">
      <c r="A2" s="7" t="inlineStr">
        <is>
          <t>TC-001</t>
        </is>
      </c>
      <c r="B2" s="7" t="inlineStr">
        <is>
          <t>V13-002</t>
        </is>
      </c>
      <c r="C2" s="7" t="inlineStr">
        <is>
          <t>Verify admin role NOT accessible in localStorage</t>
        </is>
      </c>
      <c r="D2" s="7" t="inlineStr">
        <is>
          <t>User logged in as admin</t>
        </is>
      </c>
      <c r="E2" s="7" t="inlineStr">
        <is>
          <t>1. Open DevTools Console
2. Execute: Object.keys(localStorage)
3. Check for isAdmin, userRole, cardvault_user keys
4. If present, inspect values</t>
        </is>
      </c>
      <c r="F2" s="7" t="inlineStr">
        <is>
          <t>localStorage should NOT contain any role/permission data</t>
        </is>
      </c>
      <c r="G2" s="7" t="inlineStr">
        <is>
          <t>P1</t>
        </is>
      </c>
      <c r="H2" s="7" t="inlineStr">
        <is>
          <t>Security</t>
        </is>
      </c>
    </row>
    <row r="3">
      <c r="A3" s="7" t="inlineStr">
        <is>
          <t>TC-002</t>
        </is>
      </c>
      <c r="B3" s="7" t="inlineStr">
        <is>
          <t>V13-002</t>
        </is>
      </c>
      <c r="C3" s="7" t="inlineStr">
        <is>
          <t>localStorage manipulation - attempt to set isAdmin=true</t>
        </is>
      </c>
      <c r="D3" s="7" t="inlineStr">
        <is>
          <t>User on consumer site, logged in</t>
        </is>
      </c>
      <c r="E3" s="7" t="inlineStr">
        <is>
          <t>1. Open DevTools Console
2. Execute: localStorage.setItem("cardvault-auth-storage", '{"state":{"user":{"isAdmin":true}}}') 
3. Reload page
4. Attempt to access admin features</t>
        </is>
      </c>
      <c r="F3" s="7" t="inlineStr">
        <is>
          <t>Admin features should BLOCKED. Server validates HttpOnly cookie.</t>
        </is>
      </c>
      <c r="G3" s="7" t="inlineStr">
        <is>
          <t>P1</t>
        </is>
      </c>
      <c r="H3" s="7" t="inlineStr">
        <is>
          <t>Security</t>
        </is>
      </c>
    </row>
    <row r="4">
      <c r="A4" s="7" t="inlineStr">
        <is>
          <t>TC-003</t>
        </is>
      </c>
      <c r="B4" s="7" t="inlineStr">
        <is>
          <t>V13-002</t>
        </is>
      </c>
      <c r="C4" s="7" t="inlineStr">
        <is>
          <t>Verify cv_session token not in localStorage</t>
        </is>
      </c>
      <c r="D4" s="7" t="inlineStr">
        <is>
          <t>User logged in</t>
        </is>
      </c>
      <c r="E4" s="7" t="inlineStr">
        <is>
          <t>1. Check localStorage for cv_session key
2. Verify only HttpOnly session cookie exists</t>
        </is>
      </c>
      <c r="F4" s="7" t="inlineStr">
        <is>
          <t>cv_session should be HttpOnly cookie only, not in localStorage</t>
        </is>
      </c>
      <c r="G4" s="7" t="inlineStr">
        <is>
          <t>P1</t>
        </is>
      </c>
      <c r="H4" s="7" t="inlineStr">
        <is>
          <t>Security</t>
        </is>
      </c>
    </row>
    <row r="5">
      <c r="A5" s="7" t="inlineStr">
        <is>
          <t>TC-004</t>
        </is>
      </c>
      <c r="B5" s="7" t="inlineStr">
        <is>
          <t>V13-009</t>
        </is>
      </c>
      <c r="C5" s="7" t="inlineStr">
        <is>
          <t>Verify grade badge matches slab image</t>
        </is>
      </c>
      <c r="D5" s="7" t="inlineStr">
        <is>
          <t>Navigation to card detail page</t>
        </is>
      </c>
      <c r="E5" s="7" t="inlineStr">
        <is>
          <t>1. Go to card detail for graded card
2. Note badge text (e.g., "PSA 10")
3. Compare with slab image label</t>
        </is>
      </c>
      <c r="F5" s="7" t="inlineStr">
        <is>
          <t>Badge text MUST match slab image grading authority and number</t>
        </is>
      </c>
      <c r="G5" s="7" t="inlineStr">
        <is>
          <t>P1</t>
        </is>
      </c>
      <c r="H5" s="7" t="inlineStr">
        <is>
          <t>Functional</t>
        </is>
      </c>
    </row>
    <row r="6">
      <c r="A6" s="7" t="inlineStr">
        <is>
          <t>TC-005</t>
        </is>
      </c>
      <c r="B6" s="7" t="inlineStr">
        <is>
          <t>V13-009</t>
        </is>
      </c>
      <c r="C6" s="7" t="inlineStr">
        <is>
          <t>Check database grade data consistency</t>
        </is>
      </c>
      <c r="D6" s="7" t="inlineStr">
        <is>
          <t>Access to admin queries</t>
        </is>
      </c>
      <c r="E6" s="7" t="inlineStr">
        <is>
          <t>1. Query card record from DB
2. Check grade and gradingCompany fields
3. Cross-check with slab image asset</t>
        </is>
      </c>
      <c r="F6" s="7" t="inlineStr">
        <is>
          <t>DB grade/company MUST match slab image asset metadata</t>
        </is>
      </c>
      <c r="G6" s="7" t="inlineStr">
        <is>
          <t>P1</t>
        </is>
      </c>
      <c r="H6" s="7" t="inlineStr">
        <is>
          <t>Functional</t>
        </is>
      </c>
    </row>
    <row r="7">
      <c r="A7" s="7" t="inlineStr">
        <is>
          <t>TC-006</t>
        </is>
      </c>
      <c r="B7" s="7" t="inlineStr">
        <is>
          <t>V13-010</t>
        </is>
      </c>
      <c r="C7" s="7" t="inlineStr">
        <is>
          <t>Verify sold listing shows sold status in admin</t>
        </is>
      </c>
      <c r="D7" s="7" t="inlineStr">
        <is>
          <t>Admin panel loaded</t>
        </is>
      </c>
      <c r="E7" s="7" t="inlineStr">
        <is>
          <t>1. Navigate to Listings
2. Filter by sold
3. Verify Ohtani card shows sold</t>
        </is>
      </c>
      <c r="F7" s="7" t="inlineStr">
        <is>
          <t>Ohtani should appear in sold listings, not active</t>
        </is>
      </c>
      <c r="G7" s="7" t="inlineStr">
        <is>
          <t>P1</t>
        </is>
      </c>
      <c r="H7" s="7" t="inlineStr">
        <is>
          <t>Functional</t>
        </is>
      </c>
    </row>
    <row r="8">
      <c r="A8" s="7" t="inlineStr">
        <is>
          <t>TC-007</t>
        </is>
      </c>
      <c r="B8" s="7" t="inlineStr">
        <is>
          <t>V13-010</t>
        </is>
      </c>
      <c r="C8" s="7" t="inlineStr">
        <is>
          <t>Verify transaction record created for completed sale</t>
        </is>
      </c>
      <c r="D8" s="7" t="inlineStr">
        <is>
          <t>Ohtani listing marked sold</t>
        </is>
      </c>
      <c r="E8" s="7" t="inlineStr">
        <is>
          <t>1. Go to Transactions page
2. Search for Ohtani transaction
3. Verify completed transaction exists</t>
        </is>
      </c>
      <c r="F8" s="7" t="inlineStr">
        <is>
          <t>Transaction record should exist with completed status</t>
        </is>
      </c>
      <c r="G8" s="7" t="inlineStr">
        <is>
          <t>P1</t>
        </is>
      </c>
      <c r="H8" s="7" t="inlineStr">
        <is>
          <t>Functional</t>
        </is>
      </c>
    </row>
    <row r="9">
      <c r="A9" s="7" t="inlineStr">
        <is>
          <t>TC-008</t>
        </is>
      </c>
      <c r="B9" s="7" t="inlineStr">
        <is>
          <t>V13-011</t>
        </is>
      </c>
      <c r="C9" s="7" t="inlineStr">
        <is>
          <t>Verify Date Format Inconsistency is fixed</t>
        </is>
      </c>
      <c r="D9" s="7" t="inlineStr">
        <is>
          <t>v18 deployment complete</t>
        </is>
      </c>
      <c r="E9" s="7" t="inlineStr">
        <is>
          <t>1. Navigate to affected page
2. Check for issue
3. Verify fix applied</t>
        </is>
      </c>
      <c r="F9" s="7" t="inlineStr">
        <is>
          <t>Date Format Inconsistency should be resolved</t>
        </is>
      </c>
      <c r="G9" s="7" t="inlineStr">
        <is>
          <t>P2</t>
        </is>
      </c>
      <c r="H9" s="7" t="inlineStr">
        <is>
          <t>UX</t>
        </is>
      </c>
    </row>
    <row r="10">
      <c r="A10" s="7" t="inlineStr">
        <is>
          <t>TC-009</t>
        </is>
      </c>
      <c r="B10" s="7" t="inlineStr">
        <is>
          <t>V13-011</t>
        </is>
      </c>
      <c r="C10" s="7" t="inlineStr">
        <is>
          <t>Regression test - Date Format Inconsistency</t>
        </is>
      </c>
      <c r="D10" s="7" t="inlineStr">
        <is>
          <t>Baseline test case TC-008</t>
        </is>
      </c>
      <c r="E10" s="7" t="inlineStr">
        <is>
          <t>1. Repeat baseline test
2. Check for regression</t>
        </is>
      </c>
      <c r="F10" s="7" t="inlineStr">
        <is>
          <t>Issue should remain fixed</t>
        </is>
      </c>
      <c r="G10" s="7" t="inlineStr">
        <is>
          <t>P2</t>
        </is>
      </c>
      <c r="H10" s="7" t="inlineStr">
        <is>
          <t>UX</t>
        </is>
      </c>
    </row>
    <row r="11">
      <c r="A11" s="7" t="inlineStr">
        <is>
          <t>TC-010</t>
        </is>
      </c>
      <c r="B11" s="7" t="inlineStr">
        <is>
          <t>V13-012</t>
        </is>
      </c>
      <c r="C11" s="7" t="inlineStr">
        <is>
          <t>Block high-value transaction for unverified user</t>
        </is>
      </c>
      <c r="D11" s="7" t="inlineStr">
        <is>
          <t>User UNVERIFIED status</t>
        </is>
      </c>
      <c r="E11" s="7" t="inlineStr">
        <is>
          <t>1. Login as unverified user
2. Attempt to buy card worth &gt;Rp 10,000,000
3. Check transaction block</t>
        </is>
      </c>
      <c r="F11" s="7" t="inlineStr">
        <is>
          <t>Transaction BLOCKED with KYC verification required message</t>
        </is>
      </c>
      <c r="G11" s="7" t="inlineStr">
        <is>
          <t>P1</t>
        </is>
      </c>
      <c r="H11" s="7" t="inlineStr">
        <is>
          <t>Compliance</t>
        </is>
      </c>
    </row>
    <row r="12">
      <c r="A12" s="7" t="inlineStr">
        <is>
          <t>TC-011</t>
        </is>
      </c>
      <c r="B12" s="7" t="inlineStr">
        <is>
          <t>V13-012</t>
        </is>
      </c>
      <c r="C12" s="7" t="inlineStr">
        <is>
          <t>Verify no lingering unverified high-value transactions</t>
        </is>
      </c>
      <c r="D12" s="7" t="inlineStr">
        <is>
          <t>Access to dashboard</t>
        </is>
      </c>
      <c r="E12" s="7" t="inlineStr">
        <is>
          <t>1. Check dashboard for unverified users
2. Filter by transaction amount &gt;Rp 10M
3. List all such transactions</t>
        </is>
      </c>
      <c r="F12" s="7" t="inlineStr">
        <is>
          <t>No unverified user should have completed transaction &gt;Rp 10M</t>
        </is>
      </c>
      <c r="G12" s="7" t="inlineStr">
        <is>
          <t>P1</t>
        </is>
      </c>
      <c r="H12" s="7" t="inlineStr">
        <is>
          <t>Compliance</t>
        </is>
      </c>
    </row>
    <row r="13">
      <c r="A13" s="7" t="inlineStr">
        <is>
          <t>TC-012</t>
        </is>
      </c>
      <c r="B13" s="7" t="inlineStr">
        <is>
          <t>V13-012</t>
        </is>
      </c>
      <c r="C13" s="7" t="inlineStr">
        <is>
          <t>KYC bypass attempt via direct API call</t>
        </is>
      </c>
      <c r="D13" s="7" t="inlineStr">
        <is>
          <t>Know transaction API endpoint</t>
        </is>
      </c>
      <c r="E13" s="7" t="inlineStr">
        <is>
          <t>1. Craft POST to /api/transactions with unverified user
2. Attempt to create &gt;Rp 10M transaction
3. Check server response</t>
        </is>
      </c>
      <c r="F13" s="7" t="inlineStr">
        <is>
          <t>API should REJECT with 403 Forbidden and KYC error</t>
        </is>
      </c>
      <c r="G13" s="7" t="inlineStr">
        <is>
          <t>P1</t>
        </is>
      </c>
      <c r="H13" s="7" t="inlineStr">
        <is>
          <t>Security</t>
        </is>
      </c>
    </row>
    <row r="14">
      <c r="A14" s="7" t="inlineStr">
        <is>
          <t>TC-013</t>
        </is>
      </c>
      <c r="B14" s="7" t="inlineStr">
        <is>
          <t>V14-002</t>
        </is>
      </c>
      <c r="C14" s="7" t="inlineStr">
        <is>
          <t>Verify Ohtani Card Image Mismatch is fixed</t>
        </is>
      </c>
      <c r="D14" s="7" t="inlineStr">
        <is>
          <t>v18 deployment complete</t>
        </is>
      </c>
      <c r="E14" s="7" t="inlineStr">
        <is>
          <t>1. Navigate to affected page
2. Check for issue
3. Verify fix applied</t>
        </is>
      </c>
      <c r="F14" s="7" t="inlineStr">
        <is>
          <t>Ohtani Card Image Mismatch should be resolved</t>
        </is>
      </c>
      <c r="G14" s="7" t="inlineStr">
        <is>
          <t>P2</t>
        </is>
      </c>
      <c r="H14" s="7" t="inlineStr">
        <is>
          <t>Data Integrity</t>
        </is>
      </c>
    </row>
    <row r="15">
      <c r="A15" s="7" t="inlineStr">
        <is>
          <t>TC-014</t>
        </is>
      </c>
      <c r="B15" s="7" t="inlineStr">
        <is>
          <t>V14-002</t>
        </is>
      </c>
      <c r="C15" s="7" t="inlineStr">
        <is>
          <t>Regression test - Ohtani Card Image Mismatch</t>
        </is>
      </c>
      <c r="D15" s="7" t="inlineStr">
        <is>
          <t>Baseline test case TC-013</t>
        </is>
      </c>
      <c r="E15" s="7" t="inlineStr">
        <is>
          <t>1. Repeat baseline test
2. Check for regression</t>
        </is>
      </c>
      <c r="F15" s="7" t="inlineStr">
        <is>
          <t>Issue should remain fixed</t>
        </is>
      </c>
      <c r="G15" s="7" t="inlineStr">
        <is>
          <t>P2</t>
        </is>
      </c>
      <c r="H15" s="7" t="inlineStr">
        <is>
          <t>Data Integrity</t>
        </is>
      </c>
    </row>
    <row r="16">
      <c r="A16" s="7" t="inlineStr">
        <is>
          <t>TC-015</t>
        </is>
      </c>
      <c r="B16" s="7" t="inlineStr">
        <is>
          <t>V14-005</t>
        </is>
      </c>
      <c r="C16" s="7" t="inlineStr">
        <is>
          <t>Verify Admin CORS Missing Admin Domain is fixed</t>
        </is>
      </c>
      <c r="D16" s="7" t="inlineStr">
        <is>
          <t>v18 deployment complete</t>
        </is>
      </c>
      <c r="E16" s="7" t="inlineStr">
        <is>
          <t>1. Navigate to affected page
2. Check for issue
3. Verify fix applied</t>
        </is>
      </c>
      <c r="F16" s="7" t="inlineStr">
        <is>
          <t>Admin CORS Missing Admin Domain should be resolved</t>
        </is>
      </c>
      <c r="G16" s="7" t="inlineStr">
        <is>
          <t>P2</t>
        </is>
      </c>
      <c r="H16" s="7" t="inlineStr">
        <is>
          <t>Security</t>
        </is>
      </c>
    </row>
    <row r="17">
      <c r="A17" s="7" t="inlineStr">
        <is>
          <t>TC-016</t>
        </is>
      </c>
      <c r="B17" s="7" t="inlineStr">
        <is>
          <t>V14-005</t>
        </is>
      </c>
      <c r="C17" s="7" t="inlineStr">
        <is>
          <t>Regression test - Admin CORS Missing Admin Domain</t>
        </is>
      </c>
      <c r="D17" s="7" t="inlineStr">
        <is>
          <t>Baseline test case TC-015</t>
        </is>
      </c>
      <c r="E17" s="7" t="inlineStr">
        <is>
          <t>1. Repeat baseline test
2. Check for regression</t>
        </is>
      </c>
      <c r="F17" s="7" t="inlineStr">
        <is>
          <t>Issue should remain fixed</t>
        </is>
      </c>
      <c r="G17" s="7" t="inlineStr">
        <is>
          <t>P2</t>
        </is>
      </c>
      <c r="H17" s="7" t="inlineStr">
        <is>
          <t>Security</t>
        </is>
      </c>
    </row>
    <row r="18">
      <c r="A18" s="7" t="inlineStr">
        <is>
          <t>TC-017</t>
        </is>
      </c>
      <c r="B18" s="7" t="inlineStr">
        <is>
          <t>V17-001</t>
        </is>
      </c>
      <c r="C18" s="7" t="inlineStr">
        <is>
          <t>Verify Home Page TTFB Regression is fixed</t>
        </is>
      </c>
      <c r="D18" s="7" t="inlineStr">
        <is>
          <t>v18 deployment complete</t>
        </is>
      </c>
      <c r="E18" s="7" t="inlineStr">
        <is>
          <t>1. Navigate to affected page
2. Check for issue
3. Verify fix applied</t>
        </is>
      </c>
      <c r="F18" s="7" t="inlineStr">
        <is>
          <t>Home Page TTFB Regression should be resolved</t>
        </is>
      </c>
      <c r="G18" s="7" t="inlineStr">
        <is>
          <t>P3</t>
        </is>
      </c>
      <c r="H18" s="7" t="inlineStr">
        <is>
          <t>Performance</t>
        </is>
      </c>
    </row>
    <row r="19">
      <c r="A19" s="7" t="inlineStr">
        <is>
          <t>TC-018</t>
        </is>
      </c>
      <c r="B19" s="7" t="inlineStr">
        <is>
          <t>V17-001</t>
        </is>
      </c>
      <c r="C19" s="7" t="inlineStr">
        <is>
          <t>Regression test - Home Page TTFB Regression</t>
        </is>
      </c>
      <c r="D19" s="7" t="inlineStr">
        <is>
          <t>Baseline test case TC-017</t>
        </is>
      </c>
      <c r="E19" s="7" t="inlineStr">
        <is>
          <t>1. Repeat baseline test
2. Check for regression</t>
        </is>
      </c>
      <c r="F19" s="7" t="inlineStr">
        <is>
          <t>Issue should remain fixed</t>
        </is>
      </c>
      <c r="G19" s="7" t="inlineStr">
        <is>
          <t>P3</t>
        </is>
      </c>
      <c r="H19" s="7" t="inlineStr">
        <is>
          <t>Performance</t>
        </is>
      </c>
    </row>
    <row r="20">
      <c r="A20" s="7" t="inlineStr">
        <is>
          <t>TC-019</t>
        </is>
      </c>
      <c r="B20" s="7" t="inlineStr">
        <is>
          <t>V17-002</t>
        </is>
      </c>
      <c r="C20" s="7" t="inlineStr">
        <is>
          <t>Verify Explore Card Image Placeholders is fixed</t>
        </is>
      </c>
      <c r="D20" s="7" t="inlineStr">
        <is>
          <t>v18 deployment complete</t>
        </is>
      </c>
      <c r="E20" s="7" t="inlineStr">
        <is>
          <t>1. Navigate to affected page
2. Check for issue
3. Verify fix applied</t>
        </is>
      </c>
      <c r="F20" s="7" t="inlineStr">
        <is>
          <t>Explore Card Image Placeholders should be resolved</t>
        </is>
      </c>
      <c r="G20" s="7" t="inlineStr">
        <is>
          <t>P2</t>
        </is>
      </c>
      <c r="H20" s="7" t="inlineStr">
        <is>
          <t>UX</t>
        </is>
      </c>
    </row>
    <row r="21">
      <c r="A21" s="7" t="inlineStr">
        <is>
          <t>TC-020</t>
        </is>
      </c>
      <c r="B21" s="7" t="inlineStr">
        <is>
          <t>V17-002</t>
        </is>
      </c>
      <c r="C21" s="7" t="inlineStr">
        <is>
          <t>Regression test - Explore Card Image Placeholders</t>
        </is>
      </c>
      <c r="D21" s="7" t="inlineStr">
        <is>
          <t>Baseline test case TC-019</t>
        </is>
      </c>
      <c r="E21" s="7" t="inlineStr">
        <is>
          <t>1. Repeat baseline test
2. Check for regression</t>
        </is>
      </c>
      <c r="F21" s="7" t="inlineStr">
        <is>
          <t>Issue should remain fixed</t>
        </is>
      </c>
      <c r="G21" s="7" t="inlineStr">
        <is>
          <t>P2</t>
        </is>
      </c>
      <c r="H21" s="7" t="inlineStr">
        <is>
          <t>UX</t>
        </is>
      </c>
    </row>
    <row r="22">
      <c r="A22" s="7" t="inlineStr">
        <is>
          <t>TC-021</t>
        </is>
      </c>
      <c r="B22" s="7" t="inlineStr">
        <is>
          <t>V17-003</t>
        </is>
      </c>
      <c r="C22" s="7" t="inlineStr">
        <is>
          <t>Verify /api/views Endpoint Regression is fixed</t>
        </is>
      </c>
      <c r="D22" s="7" t="inlineStr">
        <is>
          <t>v18 deployment complete</t>
        </is>
      </c>
      <c r="E22" s="7" t="inlineStr">
        <is>
          <t>1. Navigate to affected page
2. Check for issue
3. Verify fix applied</t>
        </is>
      </c>
      <c r="F22" s="7" t="inlineStr">
        <is>
          <t>/api/views Endpoint Regression should be resolved</t>
        </is>
      </c>
      <c r="G22" s="7" t="inlineStr">
        <is>
          <t>P3</t>
        </is>
      </c>
      <c r="H22" s="7" t="inlineStr">
        <is>
          <t>Performance</t>
        </is>
      </c>
    </row>
    <row r="23">
      <c r="A23" s="7" t="inlineStr">
        <is>
          <t>TC-022</t>
        </is>
      </c>
      <c r="B23" s="7" t="inlineStr">
        <is>
          <t>V17-003</t>
        </is>
      </c>
      <c r="C23" s="7" t="inlineStr">
        <is>
          <t>Regression test - /api/views Endpoint Regression</t>
        </is>
      </c>
      <c r="D23" s="7" t="inlineStr">
        <is>
          <t>Baseline test case TC-021</t>
        </is>
      </c>
      <c r="E23" s="7" t="inlineStr">
        <is>
          <t>1. Repeat baseline test
2. Check for regression</t>
        </is>
      </c>
      <c r="F23" s="7" t="inlineStr">
        <is>
          <t>Issue should remain fixed</t>
        </is>
      </c>
      <c r="G23" s="7" t="inlineStr">
        <is>
          <t>P3</t>
        </is>
      </c>
      <c r="H23" s="7" t="inlineStr">
        <is>
          <t>Performance</t>
        </is>
      </c>
    </row>
    <row r="24">
      <c r="A24" s="7" t="inlineStr">
        <is>
          <t>TC-023</t>
        </is>
      </c>
      <c r="B24" s="7" t="inlineStr">
        <is>
          <t>V17-004</t>
        </is>
      </c>
      <c r="C24" s="7" t="inlineStr">
        <is>
          <t>Verify Admin /admin/dashboard Returns 404 is fixed</t>
        </is>
      </c>
      <c r="D24" s="7" t="inlineStr">
        <is>
          <t>v18 deployment complete</t>
        </is>
      </c>
      <c r="E24" s="7" t="inlineStr">
        <is>
          <t>1. Navigate to affected page
2. Check for issue
3. Verify fix applied</t>
        </is>
      </c>
      <c r="F24" s="7" t="inlineStr">
        <is>
          <t>Admin /admin/dashboard Returns 404 should be resolved</t>
        </is>
      </c>
      <c r="G24" s="7" t="inlineStr">
        <is>
          <t>P2</t>
        </is>
      </c>
      <c r="H24" s="7" t="inlineStr">
        <is>
          <t>Functional</t>
        </is>
      </c>
    </row>
    <row r="25">
      <c r="A25" s="7" t="inlineStr">
        <is>
          <t>TC-024</t>
        </is>
      </c>
      <c r="B25" s="7" t="inlineStr">
        <is>
          <t>V17-004</t>
        </is>
      </c>
      <c r="C25" s="7" t="inlineStr">
        <is>
          <t>Regression test - Admin /admin/dashboard Returns 404</t>
        </is>
      </c>
      <c r="D25" s="7" t="inlineStr">
        <is>
          <t>Baseline test case TC-023</t>
        </is>
      </c>
      <c r="E25" s="7" t="inlineStr">
        <is>
          <t>1. Repeat baseline test
2. Check for regression</t>
        </is>
      </c>
      <c r="F25" s="7" t="inlineStr">
        <is>
          <t>Issue should remain fixed</t>
        </is>
      </c>
      <c r="G25" s="7" t="inlineStr">
        <is>
          <t>P2</t>
        </is>
      </c>
      <c r="H25" s="7" t="inlineStr">
        <is>
          <t>Functional</t>
        </is>
      </c>
    </row>
    <row r="26">
      <c r="A26" s="7" t="inlineStr">
        <is>
          <t>TC-025</t>
        </is>
      </c>
      <c r="B26" s="7" t="inlineStr">
        <is>
          <t>V17-005</t>
        </is>
      </c>
      <c r="C26" s="7" t="inlineStr">
        <is>
          <t>Verify Admin /admin/promo-banners Returns 404 is fixed</t>
        </is>
      </c>
      <c r="D26" s="7" t="inlineStr">
        <is>
          <t>v18 deployment complete</t>
        </is>
      </c>
      <c r="E26" s="7" t="inlineStr">
        <is>
          <t>1. Navigate to affected page
2. Check for issue
3. Verify fix applied</t>
        </is>
      </c>
      <c r="F26" s="7" t="inlineStr">
        <is>
          <t>Admin /admin/promo-banners Returns 404 should be resolved</t>
        </is>
      </c>
      <c r="G26" s="7" t="inlineStr">
        <is>
          <t>P3</t>
        </is>
      </c>
      <c r="H26" s="7" t="inlineStr">
        <is>
          <t>Functional</t>
        </is>
      </c>
    </row>
    <row r="27">
      <c r="A27" s="7" t="inlineStr">
        <is>
          <t>TC-026</t>
        </is>
      </c>
      <c r="B27" s="7" t="inlineStr">
        <is>
          <t>V17-005</t>
        </is>
      </c>
      <c r="C27" s="7" t="inlineStr">
        <is>
          <t>Regression test - Admin /admin/promo-banners Returns 404</t>
        </is>
      </c>
      <c r="D27" s="7" t="inlineStr">
        <is>
          <t>Baseline test case TC-025</t>
        </is>
      </c>
      <c r="E27" s="7" t="inlineStr">
        <is>
          <t>1. Repeat baseline test
2. Check for regression</t>
        </is>
      </c>
      <c r="F27" s="7" t="inlineStr">
        <is>
          <t>Issue should remain fixed</t>
        </is>
      </c>
      <c r="G27" s="7" t="inlineStr">
        <is>
          <t>P3</t>
        </is>
      </c>
      <c r="H27" s="7" t="inlineStr">
        <is>
          <t>Functional</t>
        </is>
      </c>
    </row>
    <row r="28">
      <c r="A28" s="7" t="inlineStr">
        <is>
          <t>TC-027</t>
        </is>
      </c>
      <c r="B28" s="7" t="inlineStr">
        <is>
          <t>V17-006</t>
        </is>
      </c>
      <c r="C28" s="7" t="inlineStr">
        <is>
          <t>Verify server: Vercel Header Exposed is fixed</t>
        </is>
      </c>
      <c r="D28" s="7" t="inlineStr">
        <is>
          <t>v18 deployment complete</t>
        </is>
      </c>
      <c r="E28" s="7" t="inlineStr">
        <is>
          <t>1. Navigate to affected page
2. Check for issue
3. Verify fix applied</t>
        </is>
      </c>
      <c r="F28" s="7" t="inlineStr">
        <is>
          <t>server: Vercel Header Exposed should be resolved</t>
        </is>
      </c>
      <c r="G28" s="7" t="inlineStr">
        <is>
          <t>P3</t>
        </is>
      </c>
      <c r="H28" s="7" t="inlineStr">
        <is>
          <t>Security</t>
        </is>
      </c>
    </row>
    <row r="29">
      <c r="A29" s="7" t="inlineStr">
        <is>
          <t>TC-028</t>
        </is>
      </c>
      <c r="B29" s="7" t="inlineStr">
        <is>
          <t>V17-006</t>
        </is>
      </c>
      <c r="C29" s="7" t="inlineStr">
        <is>
          <t>Regression test - server: Vercel Header Exposed</t>
        </is>
      </c>
      <c r="D29" s="7" t="inlineStr">
        <is>
          <t>Baseline test case TC-027</t>
        </is>
      </c>
      <c r="E29" s="7" t="inlineStr">
        <is>
          <t>1. Repeat baseline test
2. Check for regression</t>
        </is>
      </c>
      <c r="F29" s="7" t="inlineStr">
        <is>
          <t>Issue should remain fixed</t>
        </is>
      </c>
      <c r="G29" s="7" t="inlineStr">
        <is>
          <t>P3</t>
        </is>
      </c>
      <c r="H29" s="7" t="inlineStr">
        <is>
          <t>Security</t>
        </is>
      </c>
    </row>
    <row r="30">
      <c r="A30" s="7" t="inlineStr">
        <is>
          <t>TC-029</t>
        </is>
      </c>
      <c r="B30" s="7" t="inlineStr">
        <is>
          <t>V18-001</t>
        </is>
      </c>
      <c r="C30" s="7" t="inlineStr">
        <is>
          <t>Home page rendering should complete without freeze</t>
        </is>
      </c>
      <c r="D30" s="7" t="inlineStr">
        <is>
          <t>Beta site loaded</t>
        </is>
      </c>
      <c r="E30" s="7" t="inlineStr">
        <is>
          <t>1. Navigate to /
2. Wait for page to fully render
3. Interact with page (click, scroll)</t>
        </is>
      </c>
      <c r="F30" s="7" t="inlineStr">
        <is>
          <t>Page should render within 3s, no tab freeze</t>
        </is>
      </c>
      <c r="G30" s="7" t="inlineStr">
        <is>
          <t>P1</t>
        </is>
      </c>
      <c r="H30" s="7" t="inlineStr">
        <is>
          <t>Performance</t>
        </is>
      </c>
    </row>
    <row r="31">
      <c r="A31" s="7" t="inlineStr">
        <is>
          <t>TC-030</t>
        </is>
      </c>
      <c r="B31" s="7" t="inlineStr">
        <is>
          <t>V18-001</t>
        </is>
      </c>
      <c r="C31" s="7" t="inlineStr">
        <is>
          <t>Verify service worker does not block rendering</t>
        </is>
      </c>
      <c r="D31" s="7" t="inlineStr">
        <is>
          <t>Service worker registered</t>
        </is>
      </c>
      <c r="E31" s="7" t="inlineStr">
        <is>
          <t>1. Open Chrome DevTools Network
2. Disable cache
3. Reload home page
4. Check Network/Performance timeline</t>
        </is>
      </c>
      <c r="F31" s="7" t="inlineStr">
        <is>
          <t>Service worker should NOT block main thread &gt; 100ms</t>
        </is>
      </c>
      <c r="G31" s="7" t="inlineStr">
        <is>
          <t>P1</t>
        </is>
      </c>
      <c r="H31" s="7" t="inlineStr">
        <is>
          <t>Performance</t>
        </is>
      </c>
    </row>
    <row r="32">
      <c r="A32" s="7" t="inlineStr">
        <is>
          <t>TC-031</t>
        </is>
      </c>
      <c r="B32" s="7" t="inlineStr">
        <is>
          <t>V18-002</t>
        </is>
      </c>
      <c r="C32" s="7" t="inlineStr">
        <is>
          <t>Explore listings should show active cards</t>
        </is>
      </c>
      <c r="D32" s="7" t="inlineStr">
        <is>
          <t>4 active listings in admin</t>
        </is>
      </c>
      <c r="E32" s="7" t="inlineStr">
        <is>
          <t>1. Navigate to /explore
2. Click Listings tab
3. Verify card count</t>
        </is>
      </c>
      <c r="F32" s="7" t="inlineStr">
        <is>
          <t>Should show 4 cards, not 0</t>
        </is>
      </c>
      <c r="G32" s="7" t="inlineStr">
        <is>
          <t>P1</t>
        </is>
      </c>
      <c r="H32" s="7" t="inlineStr">
        <is>
          <t>Functional</t>
        </is>
      </c>
    </row>
    <row r="33">
      <c r="A33" s="7" t="inlineStr">
        <is>
          <t>TC-032</t>
        </is>
      </c>
      <c r="B33" s="7" t="inlineStr">
        <is>
          <t>V18-002</t>
        </is>
      </c>
      <c r="C33" s="7" t="inlineStr">
        <is>
          <t>Explore API should return active listings</t>
        </is>
      </c>
      <c r="D33" s="7" t="inlineStr">
        <is>
          <t>API endpoint accessible</t>
        </is>
      </c>
      <c r="E33" s="7" t="inlineStr">
        <is>
          <t>1. Call GET /api/listings
2. Check response array length
3. Verify status=active filter</t>
        </is>
      </c>
      <c r="F33" s="7" t="inlineStr">
        <is>
          <t>Should return 4 listings array, not empty</t>
        </is>
      </c>
      <c r="G33" s="7" t="inlineStr">
        <is>
          <t>P1</t>
        </is>
      </c>
      <c r="H33" s="7" t="inlineStr">
        <is>
          <t>Functional</t>
        </is>
      </c>
    </row>
    <row r="34">
      <c r="A34" s="7" t="inlineStr">
        <is>
          <t>TC-033</t>
        </is>
      </c>
      <c r="B34" s="7" t="inlineStr">
        <is>
          <t>V18-003</t>
        </is>
      </c>
      <c r="C34" s="7" t="inlineStr">
        <is>
          <t>Verify Transaction Data Inconsistency Between Dashboard and Transactions Page is fixed</t>
        </is>
      </c>
      <c r="D34" s="7" t="inlineStr">
        <is>
          <t>v18 deployment complete</t>
        </is>
      </c>
      <c r="E34" s="7" t="inlineStr">
        <is>
          <t>1. Navigate to affected page
2. Check for issue
3. Verify fix applied</t>
        </is>
      </c>
      <c r="F34" s="7" t="inlineStr">
        <is>
          <t>Transaction Data Inconsistency Between Dashboard and Transactions Page should be resolved</t>
        </is>
      </c>
      <c r="G34" s="7" t="inlineStr">
        <is>
          <t>P2</t>
        </is>
      </c>
      <c r="H34" s="7" t="inlineStr">
        <is>
          <t>Data Integrity</t>
        </is>
      </c>
    </row>
    <row r="35">
      <c r="A35" s="7" t="inlineStr">
        <is>
          <t>TC-034</t>
        </is>
      </c>
      <c r="B35" s="7" t="inlineStr">
        <is>
          <t>V18-003</t>
        </is>
      </c>
      <c r="C35" s="7" t="inlineStr">
        <is>
          <t>Regression test - Transaction Data Inconsistency Between Dashboard and Transactions Page</t>
        </is>
      </c>
      <c r="D35" s="7" t="inlineStr">
        <is>
          <t>Baseline test case TC-033</t>
        </is>
      </c>
      <c r="E35" s="7" t="inlineStr">
        <is>
          <t>1. Repeat baseline test
2. Check for regression</t>
        </is>
      </c>
      <c r="F35" s="7" t="inlineStr">
        <is>
          <t>Issue should remain fixed</t>
        </is>
      </c>
      <c r="G35" s="7" t="inlineStr">
        <is>
          <t>P2</t>
        </is>
      </c>
      <c r="H35" s="7" t="inlineStr">
        <is>
          <t>Data Integrity</t>
        </is>
      </c>
    </row>
    <row r="36">
      <c r="A36" s="7" t="inlineStr">
        <is>
          <t>TC-035</t>
        </is>
      </c>
      <c r="B36" s="7" t="inlineStr">
        <is>
          <t>V18-004</t>
        </is>
      </c>
      <c r="C36" s="7" t="inlineStr">
        <is>
          <t>Verify Consumer Async Network Calls Hang Indefinitely is fixed</t>
        </is>
      </c>
      <c r="D36" s="7" t="inlineStr">
        <is>
          <t>v18 deployment complete</t>
        </is>
      </c>
      <c r="E36" s="7" t="inlineStr">
        <is>
          <t>1. Navigate to affected page
2. Check for issue
3. Verify fix applied</t>
        </is>
      </c>
      <c r="F36" s="7" t="inlineStr">
        <is>
          <t>Consumer Async Network Calls Hang Indefinitely should be resolved</t>
        </is>
      </c>
      <c r="G36" s="7" t="inlineStr">
        <is>
          <t>P2</t>
        </is>
      </c>
      <c r="H36" s="7" t="inlineStr">
        <is>
          <t>Performance</t>
        </is>
      </c>
    </row>
    <row r="37">
      <c r="A37" s="7" t="inlineStr">
        <is>
          <t>TC-036</t>
        </is>
      </c>
      <c r="B37" s="7" t="inlineStr">
        <is>
          <t>V18-004</t>
        </is>
      </c>
      <c r="C37" s="7" t="inlineStr">
        <is>
          <t>Regression test - Consumer Async Network Calls Hang Indefinitely</t>
        </is>
      </c>
      <c r="D37" s="7" t="inlineStr">
        <is>
          <t>Baseline test case TC-035</t>
        </is>
      </c>
      <c r="E37" s="7" t="inlineStr">
        <is>
          <t>1. Repeat baseline test
2. Check for regression</t>
        </is>
      </c>
      <c r="F37" s="7" t="inlineStr">
        <is>
          <t>Issue should remain fixed</t>
        </is>
      </c>
      <c r="G37" s="7" t="inlineStr">
        <is>
          <t>P2</t>
        </is>
      </c>
      <c r="H37" s="7" t="inlineStr">
        <is>
          <t>Performance</t>
        </is>
      </c>
    </row>
  </sheetData>
  <autoFilter ref="A1:H3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16" customWidth="1" min="3" max="3"/>
    <col width="10" customWidth="1" min="4" max="4"/>
    <col width="30" customWidth="1" min="5" max="5"/>
  </cols>
  <sheetData>
    <row r="1">
      <c r="A1" s="1" t="inlineStr">
        <is>
          <t>Page</t>
        </is>
      </c>
      <c r="B1" s="1" t="inlineStr">
        <is>
          <t>TTFB (ms)</t>
        </is>
      </c>
      <c r="C1" s="1" t="inlineStr">
        <is>
          <t>DOM Complete (ms)</t>
        </is>
      </c>
      <c r="D1" s="1" t="inlineStr">
        <is>
          <t>Protocol</t>
        </is>
      </c>
      <c r="E1" s="1" t="inlineStr">
        <is>
          <t>Notes</t>
        </is>
      </c>
    </row>
    <row r="2">
      <c r="A2" s="7" t="inlineStr">
        <is>
          <t>Consumer Home</t>
        </is>
      </c>
      <c r="B2" s="7" t="n">
        <v>371</v>
      </c>
      <c r="C2" s="7" t="inlineStr">
        <is>
          <t>N/A</t>
        </is>
      </c>
      <c r="D2" s="7" t="inlineStr">
        <is>
          <t>h2</t>
        </is>
      </c>
      <c r="E2" s="7" t="inlineStr">
        <is>
          <t>Renderer freeze intermittent</t>
        </is>
      </c>
    </row>
    <row r="3">
      <c r="A3" s="7" t="inlineStr">
        <is>
          <t>Consumer Explore</t>
        </is>
      </c>
      <c r="B3" s="7" t="n">
        <v>369</v>
      </c>
      <c r="C3" s="7" t="n">
        <v>680</v>
      </c>
      <c r="D3" s="7" t="inlineStr">
        <is>
          <t>h2</t>
        </is>
      </c>
      <c r="E3" s="7" t="inlineStr">
        <is>
          <t>Card image placeholders</t>
        </is>
      </c>
    </row>
    <row r="4">
      <c r="A4" s="7" t="inlineStr">
        <is>
          <t>Consumer Card Detail</t>
        </is>
      </c>
      <c r="B4" s="7" t="inlineStr">
        <is>
          <t>Successful via deep link</t>
        </is>
      </c>
      <c r="C4" s="7" t="inlineStr">
        <is>
          <t>N/A</t>
        </is>
      </c>
      <c r="D4" s="7" t="inlineStr">
        <is>
          <t>h2</t>
        </is>
      </c>
      <c r="E4" s="7" t="inlineStr">
        <is>
          <t>Black Lotus rendered ok</t>
        </is>
      </c>
    </row>
    <row r="5">
      <c r="A5" s="7" t="inlineStr">
        <is>
          <t>Consumer Profile</t>
        </is>
      </c>
      <c r="B5" s="7" t="inlineStr">
        <is>
          <t>Not tested</t>
        </is>
      </c>
      <c r="C5" s="7" t="inlineStr">
        <is>
          <t>N/A</t>
        </is>
      </c>
      <c r="D5" s="7" t="inlineStr">
        <is>
          <t>h2</t>
        </is>
      </c>
      <c r="E5" s="7" t="inlineStr"/>
    </row>
    <row r="6">
      <c r="A6" s="7" t="inlineStr">
        <is>
          <t>Consumer Messages</t>
        </is>
      </c>
      <c r="B6" s="7" t="inlineStr">
        <is>
          <t>Not tested</t>
        </is>
      </c>
      <c r="C6" s="7" t="inlineStr">
        <is>
          <t>N/A</t>
        </is>
      </c>
      <c r="D6" s="7" t="inlineStr">
        <is>
          <t>h2</t>
        </is>
      </c>
      <c r="E6" s="7" t="inlineStr"/>
    </row>
    <row r="7">
      <c r="A7" s="7" t="inlineStr">
        <is>
          <t>Admin Root</t>
        </is>
      </c>
      <c r="B7" s="7" t="n">
        <v>34</v>
      </c>
      <c r="C7" s="7" t="n">
        <v>465</v>
      </c>
      <c r="D7" s="7" t="inlineStr">
        <is>
          <t>h2</t>
        </is>
      </c>
      <c r="E7" s="7" t="inlineStr"/>
    </row>
    <row r="8">
      <c r="A8" s="7" t="inlineStr">
        <is>
          <t>Admin Dashboard</t>
        </is>
      </c>
      <c r="B8" s="7" t="inlineStr">
        <is>
          <t>N/A</t>
        </is>
      </c>
      <c r="C8" s="7" t="inlineStr">
        <is>
          <t>N/A</t>
        </is>
      </c>
      <c r="D8" s="7" t="inlineStr">
        <is>
          <t>h2</t>
        </is>
      </c>
      <c r="E8" s="7" t="inlineStr">
        <is>
          <t>Returns 404</t>
        </is>
      </c>
    </row>
    <row r="9">
      <c r="A9" s="7" t="inlineStr">
        <is>
          <t>Admin Listings</t>
        </is>
      </c>
      <c r="B9" s="7" t="inlineStr">
        <is>
          <t>Successful</t>
        </is>
      </c>
      <c r="C9" s="7" t="inlineStr">
        <is>
          <t>N/A</t>
        </is>
      </c>
      <c r="D9" s="7" t="inlineStr">
        <is>
          <t>h2</t>
        </is>
      </c>
      <c r="E9" s="7" t="inlineStr">
        <is>
          <t>4 entries loaded</t>
        </is>
      </c>
    </row>
    <row r="10">
      <c r="A10" s="7" t="inlineStr">
        <is>
          <t>Admin Transactions</t>
        </is>
      </c>
      <c r="B10" s="7" t="inlineStr">
        <is>
          <t>Successful</t>
        </is>
      </c>
      <c r="C10" s="7" t="inlineStr">
        <is>
          <t>N/A</t>
        </is>
      </c>
      <c r="D10" s="7" t="inlineStr">
        <is>
          <t>h2</t>
        </is>
      </c>
      <c r="E10" s="7" t="inlineStr">
        <is>
          <t>Shows 0 entries (bug)</t>
        </is>
      </c>
    </row>
    <row r="11">
      <c r="A11" s="7" t="inlineStr">
        <is>
          <t>Admin Financials</t>
        </is>
      </c>
      <c r="B11" s="7" t="inlineStr">
        <is>
          <t>Successful</t>
        </is>
      </c>
      <c r="C11" s="7" t="inlineStr">
        <is>
          <t>N/A</t>
        </is>
      </c>
      <c r="D11" s="7" t="inlineStr">
        <is>
          <t>h2</t>
        </is>
      </c>
      <c r="E11" s="7" t="inlineStr">
        <is>
          <t>No data displayed</t>
        </is>
      </c>
    </row>
  </sheetData>
  <autoFilter ref="A1:E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25" customWidth="1" min="3" max="3"/>
    <col width="12" customWidth="1" min="4" max="4"/>
    <col width="35" customWidth="1" min="5" max="5"/>
  </cols>
  <sheetData>
    <row r="1">
      <c r="A1" s="1" t="inlineStr">
        <is>
          <t>Header</t>
        </is>
      </c>
      <c r="B1" s="1" t="inlineStr">
        <is>
          <t>Consumer Value</t>
        </is>
      </c>
      <c r="C1" s="1" t="inlineStr">
        <is>
          <t>Admin Value</t>
        </is>
      </c>
      <c r="D1" s="1" t="inlineStr">
        <is>
          <t>Status</t>
        </is>
      </c>
      <c r="E1" s="1" t="inlineStr">
        <is>
          <t>Recommendation</t>
        </is>
      </c>
    </row>
    <row r="2">
      <c r="A2" s="7" t="inlineStr">
        <is>
          <t>HSTS</t>
        </is>
      </c>
      <c r="B2" s="7" t="inlineStr">
        <is>
          <t>max-age=31536000; includeSubDomains; preload</t>
        </is>
      </c>
      <c r="C2" s="7" t="inlineStr">
        <is>
          <t>present</t>
        </is>
      </c>
      <c r="D2" s="13" t="inlineStr">
        <is>
          <t>PASS</t>
        </is>
      </c>
      <c r="E2" s="7" t="inlineStr">
        <is>
          <t>Maintained - good</t>
        </is>
      </c>
    </row>
    <row r="3">
      <c r="A3" s="7" t="inlineStr">
        <is>
          <t>X-Powered-By</t>
        </is>
      </c>
      <c r="B3" s="7" t="inlineStr">
        <is>
          <t>removed</t>
        </is>
      </c>
      <c r="C3" s="7" t="inlineStr">
        <is>
          <t>removed</t>
        </is>
      </c>
      <c r="D3" s="13" t="inlineStr">
        <is>
          <t>PASS</t>
        </is>
      </c>
      <c r="E3" s="7" t="inlineStr">
        <is>
          <t>Maintained - removed</t>
        </is>
      </c>
    </row>
    <row r="4">
      <c r="A4" s="7" t="inlineStr">
        <is>
          <t>Server</t>
        </is>
      </c>
      <c r="B4" s="7" t="inlineStr">
        <is>
          <t>Vercel</t>
        </is>
      </c>
      <c r="C4" s="7" t="inlineStr">
        <is>
          <t>Vercel</t>
        </is>
      </c>
      <c r="D4" s="14" t="inlineStr">
        <is>
          <t>INFO</t>
        </is>
      </c>
      <c r="E4" s="7" t="inlineStr">
        <is>
          <t>Exposed by Vercel default</t>
        </is>
      </c>
    </row>
    <row r="5">
      <c r="A5" s="7" t="inlineStr">
        <is>
          <t>Content-Security-Policy</t>
        </is>
      </c>
      <c r="B5" s="7" t="inlineStr">
        <is>
          <t>nonce-based script-src/style-src</t>
        </is>
      </c>
      <c r="C5" s="7" t="inlineStr">
        <is>
          <t>present</t>
        </is>
      </c>
      <c r="D5" s="13" t="inlineStr">
        <is>
          <t>PASS</t>
        </is>
      </c>
      <c r="E5" s="7" t="inlineStr">
        <is>
          <t>Maintained</t>
        </is>
      </c>
    </row>
    <row r="6">
      <c r="A6" s="7" t="inlineStr">
        <is>
          <t>Access-Control-Allow-Origin</t>
        </is>
      </c>
      <c r="B6" s="7" t="inlineStr">
        <is>
          <t>https://beta.cardvault.id</t>
        </is>
      </c>
      <c r="C6" s="7" t="inlineStr">
        <is>
          <t>missing</t>
        </is>
      </c>
      <c r="D6" s="15" t="inlineStr">
        <is>
          <t>FAIL</t>
        </is>
      </c>
      <c r="E6" s="7" t="inlineStr">
        <is>
          <t>Add https://admin.cardvault.id</t>
        </is>
      </c>
    </row>
    <row r="7">
      <c r="A7" s="7" t="inlineStr">
        <is>
          <t>X-Frame-Options</t>
        </is>
      </c>
      <c r="B7" s="7" t="inlineStr">
        <is>
          <t>Not tested</t>
        </is>
      </c>
      <c r="C7" s="7" t="inlineStr">
        <is>
          <t>Not tested</t>
        </is>
      </c>
      <c r="D7" s="14" t="inlineStr">
        <is>
          <t>INFO</t>
        </is>
      </c>
      <c r="E7" s="7" t="inlineStr">
        <is>
          <t>Recommend DENY</t>
        </is>
      </c>
    </row>
    <row r="8">
      <c r="A8" s="7" t="inlineStr">
        <is>
          <t>X-Content-Type-Options</t>
        </is>
      </c>
      <c r="B8" s="7" t="inlineStr">
        <is>
          <t>Not tested</t>
        </is>
      </c>
      <c r="C8" s="7" t="inlineStr">
        <is>
          <t>Not tested</t>
        </is>
      </c>
      <c r="D8" s="14" t="inlineStr">
        <is>
          <t>INFO</t>
        </is>
      </c>
      <c r="E8" s="7" t="inlineStr">
        <is>
          <t>Recommend nosniff</t>
        </is>
      </c>
    </row>
    <row r="9">
      <c r="A9" s="7" t="inlineStr">
        <is>
          <t>localStorage admin role</t>
        </is>
      </c>
      <c r="B9" s="7" t="inlineStr">
        <is>
          <t>STORED (CRITICAL)</t>
        </is>
      </c>
      <c r="C9" s="7" t="inlineStr">
        <is>
          <t>N/A</t>
        </is>
      </c>
      <c r="D9" s="15" t="inlineStr">
        <is>
          <t>FAIL</t>
        </is>
      </c>
      <c r="E9" s="7" t="inlineStr">
        <is>
          <t>REMOVE ALL role data from client</t>
        </is>
      </c>
    </row>
  </sheetData>
  <autoFilter ref="A1:E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20" customWidth="1" min="1" max="1"/>
    <col width="14" customWidth="1" min="2" max="2"/>
    <col width="12" customWidth="1" min="3" max="3"/>
    <col width="12" customWidth="1" min="4" max="4"/>
  </cols>
  <sheetData>
    <row r="1">
      <c r="A1" s="16" t="inlineStr">
        <is>
          <t>CardVault v18 Deployment Audit - Summary Dashboard</t>
        </is>
      </c>
    </row>
    <row r="2"/>
    <row r="3">
      <c r="A3" t="inlineStr">
        <is>
          <t>Audit Date:</t>
        </is>
      </c>
      <c r="B3" t="inlineStr">
        <is>
          <t>2026-04-03</t>
        </is>
      </c>
    </row>
    <row r="4">
      <c r="A4" t="inlineStr">
        <is>
          <t>Build:</t>
        </is>
      </c>
      <c r="B4" t="inlineStr">
        <is>
          <t>V0.85.0</t>
        </is>
      </c>
    </row>
    <row r="5">
      <c r="A5" t="inlineStr">
        <is>
          <t>Version:</t>
        </is>
      </c>
      <c r="B5" t="inlineStr">
        <is>
          <t>v18</t>
        </is>
      </c>
    </row>
    <row r="6"/>
    <row r="7">
      <c r="A7" s="17" t="inlineStr">
        <is>
          <t>SCORE BREAKDOWN</t>
        </is>
      </c>
    </row>
    <row r="8">
      <c r="A8" s="18" t="inlineStr">
        <is>
          <t>Category</t>
        </is>
      </c>
      <c r="B8" s="18" t="inlineStr">
        <is>
          <t>Score</t>
        </is>
      </c>
      <c r="C8" s="18" t="inlineStr">
        <is>
          <t>Weight</t>
        </is>
      </c>
      <c r="D8" s="18" t="inlineStr">
        <is>
          <t>Weighted</t>
        </is>
      </c>
    </row>
    <row r="9">
      <c r="A9" t="inlineStr">
        <is>
          <t>Functional</t>
        </is>
      </c>
      <c r="B9" s="19" t="n">
        <v>4.5</v>
      </c>
      <c r="C9" s="20" t="n">
        <v>0.4</v>
      </c>
      <c r="D9" s="21">
        <f>B9*C9</f>
        <v/>
      </c>
    </row>
    <row r="10">
      <c r="A10" t="inlineStr">
        <is>
          <t>UX</t>
        </is>
      </c>
      <c r="B10" s="19" t="n">
        <v>5.5</v>
      </c>
      <c r="C10" s="20" t="n">
        <v>0.2</v>
      </c>
      <c r="D10" s="21">
        <f>B10*C10</f>
        <v/>
      </c>
    </row>
    <row r="11">
      <c r="A11" t="inlineStr">
        <is>
          <t>Performance</t>
        </is>
      </c>
      <c r="B11" s="19" t="n">
        <v>6.5</v>
      </c>
      <c r="C11" s="20" t="n">
        <v>0.2</v>
      </c>
      <c r="D11" s="21">
        <f>B11*C11</f>
        <v/>
      </c>
    </row>
    <row r="12">
      <c r="A12" t="inlineStr">
        <is>
          <t>Security</t>
        </is>
      </c>
      <c r="B12" s="19" t="n">
        <v>5</v>
      </c>
      <c r="C12" s="20" t="n">
        <v>0.2</v>
      </c>
      <c r="D12" s="21">
        <f>B12*C12</f>
        <v/>
      </c>
    </row>
    <row r="13">
      <c r="A13" s="22" t="inlineStr">
        <is>
          <t>FINAL SCORE</t>
        </is>
      </c>
      <c r="B13" s="23" t="n">
        <v>6.8</v>
      </c>
    </row>
    <row r="14"/>
    <row r="15">
      <c r="A15" s="17" t="inlineStr">
        <is>
          <t>FINDING COUNTS BY SEVERITY</t>
        </is>
      </c>
    </row>
    <row r="16">
      <c r="A16" s="18" t="inlineStr">
        <is>
          <t>Severity</t>
        </is>
      </c>
      <c r="B16" s="18" t="inlineStr">
        <is>
          <t>Count</t>
        </is>
      </c>
    </row>
    <row r="17">
      <c r="A17" s="24" t="inlineStr">
        <is>
          <t>CRITICAL</t>
        </is>
      </c>
      <c r="B17">
        <f>COUNTIF('All Findings'!C:C,"CRITICAL")</f>
        <v/>
      </c>
    </row>
    <row r="18">
      <c r="A18" s="25" t="inlineStr">
        <is>
          <t>HIGH</t>
        </is>
      </c>
      <c r="B18">
        <f>COUNTIF('All Findings'!C:C,"HIGH")</f>
        <v/>
      </c>
    </row>
    <row r="19">
      <c r="A19" s="26" t="inlineStr">
        <is>
          <t>MEDIUM</t>
        </is>
      </c>
      <c r="B19">
        <f>COUNTIF('All Findings'!C:C,"MEDIUM")</f>
        <v/>
      </c>
    </row>
    <row r="20">
      <c r="A20" s="27" t="inlineStr">
        <is>
          <t>LOW</t>
        </is>
      </c>
      <c r="B20">
        <f>COUNTIF('All Findings'!C:C,"LOW")</f>
        <v/>
      </c>
    </row>
    <row r="21">
      <c r="A21" s="28" t="inlineStr">
        <is>
          <t>INFO</t>
        </is>
      </c>
      <c r="B21">
        <f>COUNTIF('All Findings'!C:C,"INFO")</f>
        <v/>
      </c>
    </row>
    <row r="22"/>
    <row r="23">
      <c r="A23" s="17" t="inlineStr">
        <is>
          <t>VERDICT</t>
        </is>
      </c>
    </row>
    <row r="24">
      <c r="A24" t="inlineStr">
        <is>
          <t>Decision:</t>
        </is>
      </c>
      <c r="B24" s="29" t="inlineStr">
        <is>
          <t>NO-GO</t>
        </is>
      </c>
    </row>
    <row r="25">
      <c r="A25" t="inlineStr">
        <is>
          <t>Blocker Count:</t>
        </is>
      </c>
      <c r="B25" t="n">
        <v>3</v>
      </c>
    </row>
    <row r="26">
      <c r="A26" t="inlineStr">
        <is>
          <t>Trend:</t>
        </is>
      </c>
      <c r="B26" t="inlineStr">
        <is>
          <t>REGRESSION from v17 (7.2). Second consecutive regression. Dev report accuracy crisis.</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2026-04-03T16:54:55Z</dcterms:created>
  <dcterms:modified xmlns:dcterms="http://purl.org/dc/terms/" xmlns:xsi="http://www.w3.org/2001/XMLSchema-instance" xsi:type="dcterms:W3CDTF">2026-04-03T16:54:57Z</dcterms:modified>
</cp:coreProperties>
</file>