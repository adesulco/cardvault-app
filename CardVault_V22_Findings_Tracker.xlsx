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'Findings Tracker'!$A$1:$J$1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5" customWidth="1" min="8" max="8"/>
    <col width="15" customWidth="1" min="9" max="9"/>
    <col width="35" customWidth="1" min="10" max="10"/>
  </cols>
  <sheetData>
    <row r="1">
      <c r="A1" s="1" t="inlineStr">
        <is>
          <t>ID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V21 Status</t>
        </is>
      </c>
      <c r="G1" s="1" t="inlineStr">
        <is>
          <t>V22 Status</t>
        </is>
      </c>
      <c r="H1" s="1" t="inlineStr">
        <is>
          <t>Owner</t>
        </is>
      </c>
      <c r="I1" s="1" t="inlineStr">
        <is>
          <t>Due Date</t>
        </is>
      </c>
      <c r="J1" s="1" t="inlineStr">
        <is>
          <t>Notes</t>
        </is>
      </c>
    </row>
    <row r="2">
      <c r="A2" s="2" t="inlineStr">
        <is>
          <t>CVA-V21-001</t>
        </is>
      </c>
      <c r="B2" s="2" t="inlineStr">
        <is>
          <t>Google OAuth Error Handling</t>
        </is>
      </c>
      <c r="C2" s="2" t="inlineStr">
        <is>
          <t>HIGH</t>
        </is>
      </c>
      <c r="D2" s="2" t="inlineStr">
        <is>
          <t>Functional</t>
        </is>
      </c>
      <c r="E2" s="2" t="inlineStr">
        <is>
          <t>Closed</t>
        </is>
      </c>
      <c r="F2" s="2" t="inlineStr">
        <is>
          <t>OPEN</t>
        </is>
      </c>
      <c r="G2" s="3" t="inlineStr">
        <is>
          <t>FIXED</t>
        </is>
      </c>
      <c r="H2" s="2" t="inlineStr">
        <is>
          <t>Frontend Team</t>
        </is>
      </c>
      <c r="I2" s="2" t="inlineStr">
        <is>
          <t>2026-04-01</t>
        </is>
      </c>
      <c r="J2" s="2" t="inlineStr">
        <is>
          <t>Red error banner now visible on auth failure</t>
        </is>
      </c>
    </row>
    <row r="3">
      <c r="A3" s="4" t="inlineStr">
        <is>
          <t>CVA-V21-002</t>
        </is>
      </c>
      <c r="B3" s="4" t="inlineStr">
        <is>
          <t>/api/listings PII Data Leak</t>
        </is>
      </c>
      <c r="C3" s="4" t="inlineStr">
        <is>
          <t>HIGH</t>
        </is>
      </c>
      <c r="D3" s="4" t="inlineStr">
        <is>
          <t>Security</t>
        </is>
      </c>
      <c r="E3" s="4" t="inlineStr">
        <is>
          <t>Closed</t>
        </is>
      </c>
      <c r="F3" s="4" t="inlineStr">
        <is>
          <t>OPEN</t>
        </is>
      </c>
      <c r="G3" s="3" t="inlineStr">
        <is>
          <t>FIXED</t>
        </is>
      </c>
      <c r="H3" s="4" t="inlineStr">
        <is>
          <t>Backend Team</t>
        </is>
      </c>
      <c r="I3" s="4" t="inlineStr">
        <is>
          <t>2026-04-01</t>
        </is>
      </c>
      <c r="J3" s="4" t="inlineStr">
        <is>
          <t>Returns 401 without session, cookies() validation added</t>
        </is>
      </c>
    </row>
    <row r="4">
      <c r="A4" s="2" t="inlineStr">
        <is>
          <t>CVA-V21-003</t>
        </is>
      </c>
      <c r="B4" s="2" t="inlineStr">
        <is>
          <t>Admin 404 Layout Break</t>
        </is>
      </c>
      <c r="C4" s="2" t="inlineStr">
        <is>
          <t>MEDIUM</t>
        </is>
      </c>
      <c r="D4" s="2" t="inlineStr">
        <is>
          <t>UX</t>
        </is>
      </c>
      <c r="E4" s="2" t="inlineStr">
        <is>
          <t>Closed</t>
        </is>
      </c>
      <c r="F4" s="2" t="inlineStr">
        <is>
          <t>OPEN</t>
        </is>
      </c>
      <c r="G4" s="3" t="inlineStr">
        <is>
          <t>FIXED</t>
        </is>
      </c>
      <c r="H4" s="2" t="inlineStr">
        <is>
          <t>Frontend Team</t>
        </is>
      </c>
      <c r="I4" s="2" t="inlineStr">
        <is>
          <t>2026-04-02</t>
        </is>
      </c>
      <c r="J4" s="2" t="inlineStr">
        <is>
          <t>catch-all route preserves sidebar layout</t>
        </is>
      </c>
    </row>
    <row r="5">
      <c r="A5" s="4" t="inlineStr">
        <is>
          <t>CVA-V21-004</t>
        </is>
      </c>
      <c r="B5" s="4" t="inlineStr">
        <is>
          <t>Beta TTFB Cold-Start</t>
        </is>
      </c>
      <c r="C5" s="4" t="inlineStr">
        <is>
          <t>MEDIUM</t>
        </is>
      </c>
      <c r="D5" s="4" t="inlineStr">
        <is>
          <t>Performance</t>
        </is>
      </c>
      <c r="E5" s="4" t="inlineStr">
        <is>
          <t>Closed</t>
        </is>
      </c>
      <c r="F5" s="4" t="inlineStr">
        <is>
          <t>OPEN</t>
        </is>
      </c>
      <c r="G5" s="3" t="inlineStr">
        <is>
          <t>FIXED</t>
        </is>
      </c>
      <c r="H5" s="4" t="inlineStr">
        <is>
          <t>DevOps Team</t>
        </is>
      </c>
      <c r="I5" s="4" t="inlineStr">
        <is>
          <t>2026-04-03</t>
        </is>
      </c>
      <c r="J5" s="4" t="inlineStr">
        <is>
          <t>Cron warming + Edge Runtime, 305ms warm TTFB</t>
        </is>
      </c>
    </row>
    <row r="6">
      <c r="A6" s="2" t="inlineStr">
        <is>
          <t>CVA-V21-005</t>
        </is>
      </c>
      <c r="B6" s="2" t="inlineStr">
        <is>
          <t>Version Number Exposed</t>
        </is>
      </c>
      <c r="C6" s="2" t="inlineStr">
        <is>
          <t>LOW</t>
        </is>
      </c>
      <c r="D6" s="2" t="inlineStr">
        <is>
          <t>Security</t>
        </is>
      </c>
      <c r="E6" s="2" t="inlineStr">
        <is>
          <t>Open</t>
        </is>
      </c>
      <c r="F6" s="2" t="inlineStr">
        <is>
          <t>OPEN</t>
        </is>
      </c>
      <c r="G6" s="5" t="inlineStr">
        <is>
          <t>NOT FIXED</t>
        </is>
      </c>
      <c r="H6" s="2" t="inlineStr">
        <is>
          <t>Frontend Team</t>
        </is>
      </c>
      <c r="I6" s="2" t="inlineStr">
        <is>
          <t>2026-04-10</t>
        </is>
      </c>
      <c r="J6" s="2" t="inlineStr">
        <is>
          <t>v0.9.0 visible top-right both sites</t>
        </is>
      </c>
    </row>
    <row r="7">
      <c r="A7" s="4" t="inlineStr">
        <is>
          <t>CVA-V21-006</t>
        </is>
      </c>
      <c r="B7" s="4" t="inlineStr">
        <is>
          <t>Admin Email in Sidebar</t>
        </is>
      </c>
      <c r="C7" s="4" t="inlineStr">
        <is>
          <t>LOW</t>
        </is>
      </c>
      <c r="D7" s="4" t="inlineStr">
        <is>
          <t>UX</t>
        </is>
      </c>
      <c r="E7" s="4" t="inlineStr">
        <is>
          <t>Open</t>
        </is>
      </c>
      <c r="F7" s="4" t="inlineStr">
        <is>
          <t>OPEN</t>
        </is>
      </c>
      <c r="G7" s="5" t="inlineStr">
        <is>
          <t>NOT FIXED</t>
        </is>
      </c>
      <c r="H7" s="4" t="inlineStr">
        <is>
          <t>Frontend Team</t>
        </is>
      </c>
      <c r="I7" s="4" t="inlineStr">
        <is>
          <t>2026-04-10</t>
        </is>
      </c>
      <c r="J7" s="4" t="inlineStr">
        <is>
          <t>Email plaintext in admin sidebar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Findings Summary</t>
        </is>
      </c>
      <c r="B1" s="6" t="inlineStr"/>
    </row>
    <row r="2">
      <c r="A2" s="6" t="inlineStr"/>
      <c r="B2" s="6" t="inlineStr"/>
    </row>
    <row r="3">
      <c r="A3" s="7" t="inlineStr">
        <is>
          <t>Total Findings:</t>
        </is>
      </c>
      <c r="B3" s="6">
        <f>COUNTA('Findings Tracker'!A2:A7)</f>
        <v/>
      </c>
    </row>
    <row r="4">
      <c r="A4" s="6" t="inlineStr">
        <is>
          <t>Findings Status</t>
        </is>
      </c>
      <c r="B4" s="6" t="inlineStr"/>
    </row>
    <row r="5">
      <c r="A5" s="6" t="inlineStr">
        <is>
          <t>Open</t>
        </is>
      </c>
      <c r="B5" s="6">
        <f>COUNTIF('Findings Tracker'!E2:E7,"Open")</f>
        <v/>
      </c>
    </row>
    <row r="6">
      <c r="A6" s="6" t="inlineStr">
        <is>
          <t>Closed</t>
        </is>
      </c>
      <c r="B6" s="6">
        <f>COUNTIF('Findings Tracker'!E2:E7,"Closed")</f>
        <v/>
      </c>
    </row>
    <row r="7">
      <c r="A7" s="6" t="inlineStr"/>
      <c r="B7" s="6" t="inlineStr"/>
    </row>
    <row r="8">
      <c r="A8" s="6" t="inlineStr">
        <is>
          <t>By Severity</t>
        </is>
      </c>
      <c r="B8" s="6" t="inlineStr"/>
    </row>
    <row r="9">
      <c r="A9" s="6" t="inlineStr">
        <is>
          <t>HIGH</t>
        </is>
      </c>
      <c r="B9" s="6">
        <f>COUNTIF('Findings Tracker'!C2:C7,"HIGH")</f>
        <v/>
      </c>
    </row>
    <row r="10">
      <c r="A10" s="6" t="inlineStr">
        <is>
          <t>MEDIUM</t>
        </is>
      </c>
      <c r="B10" s="6">
        <f>COUNTIF('Findings Tracker'!C2:C7,"MEDIUM")</f>
        <v/>
      </c>
    </row>
    <row r="11">
      <c r="A11" s="6" t="inlineStr">
        <is>
          <t>LOW</t>
        </is>
      </c>
      <c r="B11" s="6">
        <f>COUNTIF('Findings Tracker'!C2:C7,"LOW")</f>
        <v/>
      </c>
    </row>
    <row r="12">
      <c r="A12" s="6" t="inlineStr"/>
      <c r="B12" s="6" t="inlineStr"/>
    </row>
    <row r="13">
      <c r="A13" s="6" t="inlineStr">
        <is>
          <t>Fix Rate</t>
        </is>
      </c>
      <c r="B13" s="6">
        <f>COUNTIF('Findings Tracker'!E2:E7,"Closed")/COUNTA('Findings Tracker'!A2:A7)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2026-04-04T07:33:54Z</dcterms:created>
  <dcterms:modified xmlns:dcterms="http://purl.org/dc/terms/" xmlns:xsi="http://www.w3.org/2001/XMLSchema-instance" xsi:type="dcterms:W3CDTF">2026-04-04T07:33:56Z</dcterms:modified>
</cp:coreProperties>
</file>