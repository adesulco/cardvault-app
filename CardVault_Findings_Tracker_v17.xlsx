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Dev Report Verification" sheetId="2" state="visible" r:id="rId2"/>
    <sheet xmlns:r="http://schemas.openxmlformats.org/officeDocument/2006/relationships" name="v16 vs v17 Comparison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Performance Benchmark" sheetId="5" state="visible" r:id="rId5"/>
    <sheet xmlns:r="http://schemas.openxmlformats.org/officeDocument/2006/relationships" name="Security Headers" sheetId="6" state="visible" r:id="rId6"/>
    <sheet xmlns:r="http://schemas.openxmlformats.org/officeDocument/2006/relationships" name="Summary Dashboard" sheetId="7" state="visible" r:id="rId7"/>
  </sheets>
  <definedNames>
    <definedName name="_xlnm._FilterDatabase" localSheetId="0" hidden="1">'All Findings'!$A$1:$I$19</definedName>
    <definedName name="_xlnm._FilterDatabase" localSheetId="1" hidden="1">'Dev Report Verification'!$A$1:$F$14</definedName>
    <definedName name="_xlnm._FilterDatabase" localSheetId="2" hidden="1">'v16 vs v17 Comparison'!$A$1:$F$19</definedName>
    <definedName name="_xlnm._FilterDatabase" localSheetId="3" hidden="1">'Test Cases'!$A$1:$H$39</definedName>
    <definedName name="_xlnm._FilterDatabase" localSheetId="5" hidden="1">'Security Headers'!$A$1:$F$13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C00000"/>
      <sz val="12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color rgb="00C00000"/>
      <sz val="10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0FDE0"/>
        <bgColor rgb="00E0FDE0"/>
      </patternFill>
    </fill>
    <fill>
      <patternFill patternType="solid">
        <fgColor rgb="00FDE0E0"/>
        <bgColor rgb="00FDE0E0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EBEE"/>
        <bgColor rgb="00FFEBEE"/>
      </patternFill>
    </fill>
    <fill>
      <patternFill patternType="solid">
        <fgColor rgb="00FFE8CC"/>
        <bgColor rgb="00FFE8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pivotButton="0" quotePrefix="0" xfId="0"/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3" fillId="0" borderId="1" pivotButton="0" quotePrefix="0" xfId="0"/>
    <xf numFmtId="0" fontId="2" fillId="7" borderId="1" applyAlignment="1" pivotButton="0" quotePrefix="0" xfId="0">
      <alignment horizontal="right" vertical="top"/>
    </xf>
    <xf numFmtId="0" fontId="2" fillId="8" borderId="1" applyAlignment="1" pivotButton="0" quotePrefix="0" xfId="0">
      <alignment horizontal="right" vertical="top"/>
    </xf>
    <xf numFmtId="0" fontId="4" fillId="2" borderId="0" applyAlignment="1" pivotButton="0" quotePrefix="0" xfId="0">
      <alignment horizontal="center" vertical="center"/>
    </xf>
    <xf numFmtId="0" fontId="5" fillId="12" borderId="0" pivotButton="0" quotePrefix="0" xfId="0"/>
    <xf numFmtId="0" fontId="6" fillId="0" borderId="0" applyAlignment="1" pivotButton="0" quotePrefix="0" xfId="0">
      <alignment horizontal="center"/>
    </xf>
    <xf numFmtId="0" fontId="2" fillId="8" borderId="0" pivotButton="0" quotePrefix="0" xfId="0"/>
    <xf numFmtId="0" fontId="2" fillId="8" borderId="0" applyAlignment="1" pivotButton="0" quotePrefix="0" xfId="0">
      <alignment horizontal="center"/>
    </xf>
    <xf numFmtId="0" fontId="3" fillId="7" borderId="0" pivotButton="0" quotePrefix="0" xfId="0"/>
    <xf numFmtId="0" fontId="7" fillId="7" borderId="0" applyAlignment="1" pivotButton="0" quotePrefix="0" xfId="0">
      <alignment horizontal="center"/>
    </xf>
    <xf numFmtId="0" fontId="8" fillId="2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8" borderId="0" pivotButton="0" quotePrefix="0" xfId="0"/>
    <xf numFmtId="0" fontId="7" fillId="8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/>
    </xf>
    <xf numFmtId="0" fontId="2" fillId="10" borderId="0" pivotButton="0" quotePrefix="0" xfId="0"/>
    <xf numFmtId="0" fontId="2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5" customWidth="1" min="4" max="4"/>
    <col width="35" customWidth="1" min="5" max="5"/>
    <col width="12" customWidth="1" min="6" max="6"/>
    <col width="8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Detail</t>
        </is>
      </c>
      <c r="F1" s="1" t="inlineStr">
        <is>
          <t>Status</t>
        </is>
      </c>
      <c r="G1" s="1" t="inlineStr">
        <is>
          <t>Age</t>
        </is>
      </c>
      <c r="H1" s="1" t="inlineStr">
        <is>
          <t>Dev Report Claim</t>
        </is>
      </c>
      <c r="I1" s="1" t="inlineStr">
        <is>
          <t>Recommendation</t>
        </is>
      </c>
    </row>
    <row r="2">
      <c r="A2" s="2" t="inlineStr">
        <is>
          <t>V13-002</t>
        </is>
      </c>
      <c r="B2" s="2" t="inlineStr">
        <is>
          <t>CRITICAL</t>
        </is>
      </c>
      <c r="C2" s="2" t="inlineStr">
        <is>
          <t>Security</t>
        </is>
      </c>
      <c r="D2" s="2" t="inlineStr">
        <is>
          <t>Admin role in localStorage</t>
        </is>
      </c>
      <c r="E2" s="2" t="inlineStr">
        <is>
          <t>cardvault-auth-storage: isAdmin:true, userRole:ADMIN. cardvault_user: isAdmin:true. cv_session:26jo2e3fxqn. Dev report falsely claimed fixed.</t>
        </is>
      </c>
      <c r="F2" s="2" t="inlineStr">
        <is>
          <t>NOT FIXED</t>
        </is>
      </c>
      <c r="G2" s="2" t="inlineStr">
        <is>
          <t>v13</t>
        </is>
      </c>
      <c r="H2" s="2" t="inlineStr">
        <is>
          <t>DISPUTED (FIXED) — FALSE</t>
        </is>
      </c>
      <c r="I2" s="2" t="inlineStr">
        <is>
          <t>Fix immediately</t>
        </is>
      </c>
    </row>
    <row r="3">
      <c r="A3" s="3" t="inlineStr">
        <is>
          <t>V13-009</t>
        </is>
      </c>
      <c r="B3" s="3" t="inlineStr">
        <is>
          <t>HIGH</t>
        </is>
      </c>
      <c r="C3" s="3" t="inlineStr">
        <is>
          <t>Data Integrity</t>
        </is>
      </c>
      <c r="D3" s="3" t="inlineStr">
        <is>
          <t>Grade badge contradicts slab</t>
        </is>
      </c>
      <c r="E3" s="3" t="inlineStr">
        <is>
          <t>Badge 'UGA 9', card details 'Graded (UGA 9)', slab reads 'GEM MT 10'. Dev report falsely claimed fixed.</t>
        </is>
      </c>
      <c r="F3" s="3" t="inlineStr">
        <is>
          <t>NOT FIXED</t>
        </is>
      </c>
      <c r="G3" s="3" t="inlineStr">
        <is>
          <t>v13</t>
        </is>
      </c>
      <c r="H3" s="3" t="inlineStr">
        <is>
          <t>DISPUTED (FIXED) — FALSE</t>
        </is>
      </c>
      <c r="I3" s="3" t="inlineStr">
        <is>
          <t>Fix immediately</t>
        </is>
      </c>
    </row>
    <row r="4">
      <c r="A4" s="2" t="inlineStr">
        <is>
          <t>V13-010</t>
        </is>
      </c>
      <c r="B4" s="2" t="inlineStr">
        <is>
          <t>HIGH</t>
        </is>
      </c>
      <c r="C4" s="2" t="inlineStr">
        <is>
          <t>Data Integrity</t>
        </is>
      </c>
      <c r="D4" s="2" t="inlineStr">
        <is>
          <t>Completed transaction listing still active</t>
        </is>
      </c>
      <c r="E4" s="2" t="inlineStr">
        <is>
          <t>Ohtani Rp 25M transaction completed but listing status is 'active'. Dev report falsely claimed fixed.</t>
        </is>
      </c>
      <c r="F4" s="2" t="inlineStr">
        <is>
          <t>NOT FIXED</t>
        </is>
      </c>
      <c r="G4" s="2" t="inlineStr">
        <is>
          <t>v13</t>
        </is>
      </c>
      <c r="H4" s="2" t="inlineStr">
        <is>
          <t>DISPUTED (FIXED) — FALSE</t>
        </is>
      </c>
      <c r="I4" s="2" t="inlineStr">
        <is>
          <t>Fix immediately</t>
        </is>
      </c>
    </row>
    <row r="5">
      <c r="A5" s="3" t="inlineStr">
        <is>
          <t>V13-011</t>
        </is>
      </c>
      <c r="B5" s="3" t="inlineStr">
        <is>
          <t>HIGH</t>
        </is>
      </c>
      <c r="C5" s="3" t="inlineStr">
        <is>
          <t>Data Integrity</t>
        </is>
      </c>
      <c r="D5" s="3" t="inlineStr">
        <is>
          <t>Date mismatch across admin pages</t>
        </is>
      </c>
      <c r="E5" s="3" t="inlineStr">
        <is>
          <t>Transaction 0906f312: Transactions page '03 Apr 2026', Financials page '01 Apr 2026'. Dev report falsely claimed fixed.</t>
        </is>
      </c>
      <c r="F5" s="3" t="inlineStr">
        <is>
          <t>NOT FIXED</t>
        </is>
      </c>
      <c r="G5" s="3" t="inlineStr">
        <is>
          <t>v13</t>
        </is>
      </c>
      <c r="H5" s="3" t="inlineStr">
        <is>
          <t>DISPUTED (FIXED) — FALSE</t>
        </is>
      </c>
      <c r="I5" s="3" t="inlineStr">
        <is>
          <t>Fix immediately</t>
        </is>
      </c>
    </row>
    <row r="6">
      <c r="A6" s="2" t="inlineStr">
        <is>
          <t>V13-012</t>
        </is>
      </c>
      <c r="B6" s="2" t="inlineStr">
        <is>
          <t>HIGH</t>
        </is>
      </c>
      <c r="C6" s="2" t="inlineStr">
        <is>
          <t>Data Integrity</t>
        </is>
      </c>
      <c r="D6" s="2" t="inlineStr">
        <is>
          <t>No KYC enforcement for high-value transactions</t>
        </is>
      </c>
      <c r="E6" s="2" t="inlineStr">
        <is>
          <t>John Collector KYC REJECTED/UNVERIFIED with completed Rp 25M transaction. Dev report falsely claimed fixed.</t>
        </is>
      </c>
      <c r="F6" s="2" t="inlineStr">
        <is>
          <t>NOT FIXED</t>
        </is>
      </c>
      <c r="G6" s="2" t="inlineStr">
        <is>
          <t>v13</t>
        </is>
      </c>
      <c r="H6" s="2" t="inlineStr">
        <is>
          <t>DISPUTED (FIXED) — FALSE</t>
        </is>
      </c>
      <c r="I6" s="2" t="inlineStr">
        <is>
          <t>Fix immediately</t>
        </is>
      </c>
    </row>
    <row r="7">
      <c r="A7" s="3" t="inlineStr">
        <is>
          <t>V13-019</t>
        </is>
      </c>
      <c r="B7" s="3" t="inlineStr">
        <is>
          <t>MEDIUM</t>
        </is>
      </c>
      <c r="C7" s="3" t="inlineStr">
        <is>
          <t>Functionality</t>
        </is>
      </c>
      <c r="D7" s="3" t="inlineStr">
        <is>
          <t>Chart Y-axis label VOLUME (IDR)</t>
        </is>
      </c>
      <c r="E7" s="3" t="inlineStr">
        <is>
          <t>Should use Rp prefix. Dev report confirmed this is present (not a fix).</t>
        </is>
      </c>
      <c r="F7" s="3" t="inlineStr">
        <is>
          <t>NOT FIXED</t>
        </is>
      </c>
      <c r="G7" s="3" t="inlineStr">
        <is>
          <t>v13</t>
        </is>
      </c>
      <c r="H7" s="3" t="inlineStr"/>
      <c r="I7" s="3" t="inlineStr">
        <is>
          <t>Schedule for next sprint</t>
        </is>
      </c>
    </row>
    <row r="8">
      <c r="A8" s="2" t="inlineStr">
        <is>
          <t>V14-002</t>
        </is>
      </c>
      <c r="B8" s="2" t="inlineStr">
        <is>
          <t>HIGH</t>
        </is>
      </c>
      <c r="C8" s="2" t="inlineStr">
        <is>
          <t>Data Integrity</t>
        </is>
      </c>
      <c r="D8" s="2" t="inlineStr">
        <is>
          <t>Ohtani listing shows Aaron Judge image</t>
        </is>
      </c>
      <c r="E8" s="2" t="inlineStr">
        <is>
          <t>Listing 'Shohei Ohtani Chrome RC Auto' shows '2024 BOWMAN CHROME AARON JUDGE' slab. Dev report falsely claimed fixed.</t>
        </is>
      </c>
      <c r="F8" s="2" t="inlineStr">
        <is>
          <t>NOT FIXED</t>
        </is>
      </c>
      <c r="G8" s="2" t="inlineStr">
        <is>
          <t>v14</t>
        </is>
      </c>
      <c r="H8" s="2" t="inlineStr">
        <is>
          <t>DISPUTED (FIXED) — FALSE</t>
        </is>
      </c>
      <c r="I8" s="2" t="inlineStr">
        <is>
          <t>Fix immediately</t>
        </is>
      </c>
    </row>
    <row r="9">
      <c r="A9" s="3" t="inlineStr">
        <is>
          <t>V14-005</t>
        </is>
      </c>
      <c r="B9" s="3" t="inlineStr">
        <is>
          <t>MEDIUM</t>
        </is>
      </c>
      <c r="C9" s="3" t="inlineStr">
        <is>
          <t>Security</t>
        </is>
      </c>
      <c r="D9" s="3" t="inlineStr">
        <is>
          <t>CORS on admin returns beta origin only</t>
        </is>
      </c>
      <c r="E9" s="3" t="inlineStr">
        <is>
          <t>admin.cardvault.id Access-Control-Allow-Origin: https://beta.cardvault.id. Dev report falsely claimed fixed.</t>
        </is>
      </c>
      <c r="F9" s="3" t="inlineStr">
        <is>
          <t>NOT FIXED</t>
        </is>
      </c>
      <c r="G9" s="3" t="inlineStr">
        <is>
          <t>v14</t>
        </is>
      </c>
      <c r="H9" s="3" t="inlineStr">
        <is>
          <t>DISPUTED (FIXED) — FALSE</t>
        </is>
      </c>
      <c r="I9" s="3" t="inlineStr">
        <is>
          <t>Schedule for next sprint</t>
        </is>
      </c>
    </row>
    <row r="10">
      <c r="A10" s="2" t="inlineStr">
        <is>
          <t>V15-005</t>
        </is>
      </c>
      <c r="B10" s="2" t="inlineStr">
        <is>
          <t>LOW</t>
        </is>
      </c>
      <c r="C10" s="2" t="inlineStr">
        <is>
          <t>Performance</t>
        </is>
      </c>
      <c r="D10" s="2" t="inlineStr">
        <is>
          <t>/api/notifications polling every ~30s</t>
        </is>
      </c>
      <c r="E10" s="2" t="inlineStr">
        <is>
          <t>Still polling. Dev report confirmed as expected behavior.</t>
        </is>
      </c>
      <c r="F10" s="2" t="inlineStr">
        <is>
          <t>NOT FIXED</t>
        </is>
      </c>
      <c r="G10" s="2" t="inlineStr">
        <is>
          <t>v15</t>
        </is>
      </c>
      <c r="H10" s="2" t="inlineStr"/>
      <c r="I10" s="2" t="inlineStr">
        <is>
          <t>Schedule for next sprint</t>
        </is>
      </c>
    </row>
    <row r="11">
      <c r="A11" s="3" t="inlineStr">
        <is>
          <t>V15-006</t>
        </is>
      </c>
      <c r="B11" s="3" t="inlineStr">
        <is>
          <t>LOW</t>
        </is>
      </c>
      <c r="C11" s="3" t="inlineStr">
        <is>
          <t>Functionality</t>
        </is>
      </c>
      <c r="D11" s="3" t="inlineStr">
        <is>
          <t>style-src unsafe-inline fallback</t>
        </is>
      </c>
      <c r="E11" s="3" t="inlineStr">
        <is>
          <t>CSP style-src still has 'unsafe-inline' alongside nonce. Dev report confirmed as backward-compatible.</t>
        </is>
      </c>
      <c r="F11" s="3" t="inlineStr">
        <is>
          <t>NOT FIXED</t>
        </is>
      </c>
      <c r="G11" s="3" t="inlineStr">
        <is>
          <t>v15</t>
        </is>
      </c>
      <c r="H11" s="3" t="inlineStr"/>
      <c r="I11" s="3" t="inlineStr">
        <is>
          <t>Schedule for next sprint</t>
        </is>
      </c>
    </row>
    <row r="12">
      <c r="A12" s="2" t="inlineStr">
        <is>
          <t>V16-002</t>
        </is>
      </c>
      <c r="B12" s="2" t="inlineStr">
        <is>
          <t>LOW</t>
        </is>
      </c>
      <c r="C12" s="2" t="inlineStr">
        <is>
          <t>UX</t>
        </is>
      </c>
      <c r="D12" s="2" t="inlineStr">
        <is>
          <t>Home page banners hardcoded vs admin empty</t>
        </is>
      </c>
      <c r="E12" s="2" t="inlineStr">
        <is>
          <t>Consumer home shows promo banners, admin Promo Banners shows 'No promo banners configured.' Banners are hardcoded, not CMS-driven.</t>
        </is>
      </c>
      <c r="F12" s="2" t="inlineStr">
        <is>
          <t>NOT FIXED</t>
        </is>
      </c>
      <c r="G12" s="2" t="inlineStr">
        <is>
          <t>v16</t>
        </is>
      </c>
      <c r="H12" s="2" t="inlineStr"/>
      <c r="I12" s="2" t="inlineStr">
        <is>
          <t>Schedule for next sprint</t>
        </is>
      </c>
    </row>
    <row r="13">
      <c r="A13" s="3" t="inlineStr">
        <is>
          <t>V17-001</t>
        </is>
      </c>
      <c r="B13" s="3" t="inlineStr">
        <is>
          <t>HIGH</t>
        </is>
      </c>
      <c r="C13" s="3" t="inlineStr">
        <is>
          <t>Performance</t>
        </is>
      </c>
      <c r="D13" s="3" t="inlineStr">
        <is>
          <t>Home page TTFB regression to 740ms</t>
        </is>
      </c>
      <c r="E13" s="3" t="inlineStr">
        <is>
          <t>Home TTFB regressed from 379ms (v16) to 740ms (v17) — 95% slower. DOM Complete from 748ms to 1391ms — 86% slower. FCP measured at 5224ms. /api/home from 320ms to 615ms — 92% slower. Dev report claimed 150-185ms which is fabricated.</t>
        </is>
      </c>
      <c r="F13" s="3" t="inlineStr">
        <is>
          <t>NEW</t>
        </is>
      </c>
      <c r="G13" s="3" t="inlineStr">
        <is>
          <t>v17</t>
        </is>
      </c>
      <c r="H13" s="3" t="inlineStr">
        <is>
          <t>NEW FINDING</t>
        </is>
      </c>
      <c r="I13" s="3" t="inlineStr">
        <is>
          <t>Fix before release</t>
        </is>
      </c>
    </row>
    <row r="14">
      <c r="A14" s="2" t="inlineStr">
        <is>
          <t>V17-002</t>
        </is>
      </c>
      <c r="B14" s="2" t="inlineStr">
        <is>
          <t>HIGH</t>
        </is>
      </c>
      <c r="C14" s="2" t="inlineStr">
        <is>
          <t>UX</t>
        </is>
      </c>
      <c r="D14" s="2" t="inlineStr">
        <is>
          <t>Card images broken on Explore page (blue placeholders)</t>
        </is>
      </c>
      <c r="E14" s="2" t="inlineStr">
        <is>
          <t>All 4 cards on Explore show light blue placeholder boxes instead of card/slab images. Images were loading in v16. Card detail deep link loads images correctly, but thumbnails on Explore grid are broken. REGRESSION from v16.</t>
        </is>
      </c>
      <c r="F14" s="2" t="inlineStr">
        <is>
          <t>NEW</t>
        </is>
      </c>
      <c r="G14" s="2" t="inlineStr">
        <is>
          <t>v17</t>
        </is>
      </c>
      <c r="H14" s="2" t="inlineStr">
        <is>
          <t>NEW FINDING</t>
        </is>
      </c>
      <c r="I14" s="2" t="inlineStr">
        <is>
          <t>Fix before release</t>
        </is>
      </c>
    </row>
    <row r="15">
      <c r="A15" s="3" t="inlineStr">
        <is>
          <t>V17-003</t>
        </is>
      </c>
      <c r="B15" s="3" t="inlineStr">
        <is>
          <t>MEDIUM</t>
        </is>
      </c>
      <c r="C15" s="3" t="inlineStr">
        <is>
          <t>Performance</t>
        </is>
      </c>
      <c r="D15" s="3" t="inlineStr">
        <is>
          <t>/api/views endpoint regressed to 2205ms</t>
        </is>
      </c>
      <c r="E15" s="3" t="inlineStr">
        <is>
          <t>/api/listings/{id}/views takes 2205ms on deep link (was 968ms in v16). 128% regression. This non-critical endpoint blocks no rendering but indicates backend performance degradation.</t>
        </is>
      </c>
      <c r="F15" s="3" t="inlineStr">
        <is>
          <t>NEW</t>
        </is>
      </c>
      <c r="G15" s="3" t="inlineStr">
        <is>
          <t>v17</t>
        </is>
      </c>
      <c r="H15" s="3" t="inlineStr">
        <is>
          <t>NEW FINDING</t>
        </is>
      </c>
      <c r="I15" s="3" t="inlineStr">
        <is>
          <t>Monitor</t>
        </is>
      </c>
    </row>
    <row r="16">
      <c r="A16" s="2" t="inlineStr">
        <is>
          <t>V17-004</t>
        </is>
      </c>
      <c r="B16" s="2" t="inlineStr">
        <is>
          <t>MEDIUM</t>
        </is>
      </c>
      <c r="C16" s="2" t="inlineStr">
        <is>
          <t>Functionality</t>
        </is>
      </c>
      <c r="D16" s="2" t="inlineStr">
        <is>
          <t>Admin /admin/dashboard direct URL returns 404</t>
        </is>
      </c>
      <c r="E16" s="2" t="inlineStr">
        <is>
          <t>Navigating directly to https://admin.cardvault.id/admin/dashboard returns 404. Must navigate via sidebar from root. Route structure changed without redirects.</t>
        </is>
      </c>
      <c r="F16" s="2" t="inlineStr">
        <is>
          <t>NEW</t>
        </is>
      </c>
      <c r="G16" s="2" t="inlineStr">
        <is>
          <t>v17</t>
        </is>
      </c>
      <c r="H16" s="2" t="inlineStr">
        <is>
          <t>NEW FINDING</t>
        </is>
      </c>
      <c r="I16" s="2" t="inlineStr">
        <is>
          <t>Monitor</t>
        </is>
      </c>
    </row>
    <row r="17">
      <c r="A17" s="3" t="inlineStr">
        <is>
          <t>V17-005</t>
        </is>
      </c>
      <c r="B17" s="3" t="inlineStr">
        <is>
          <t>LOW</t>
        </is>
      </c>
      <c r="C17" s="3" t="inlineStr">
        <is>
          <t>Functionality</t>
        </is>
      </c>
      <c r="D17" s="3" t="inlineStr">
        <is>
          <t>Admin Promo Banners URL changed without redirect</t>
        </is>
      </c>
      <c r="E17" s="3" t="inlineStr">
        <is>
          <t>Previous URL /admin/promo-banners returns 404. New URL is /admin/banners (works via sidebar). No redirect from old URL to new. Breaking change for bookmarks.</t>
        </is>
      </c>
      <c r="F17" s="3" t="inlineStr">
        <is>
          <t>NEW</t>
        </is>
      </c>
      <c r="G17" s="3" t="inlineStr">
        <is>
          <t>v17</t>
        </is>
      </c>
      <c r="H17" s="3" t="inlineStr">
        <is>
          <t>NEW FINDING</t>
        </is>
      </c>
      <c r="I17" s="3" t="inlineStr">
        <is>
          <t>Monitor</t>
        </is>
      </c>
    </row>
    <row r="18">
      <c r="A18" s="2" t="inlineStr">
        <is>
          <t>V17-006</t>
        </is>
      </c>
      <c r="B18" s="2" t="inlineStr">
        <is>
          <t>LOW</t>
        </is>
      </c>
      <c r="C18" s="2" t="inlineStr">
        <is>
          <t>Data Integrity</t>
        </is>
      </c>
      <c r="D18" s="2" t="inlineStr">
        <is>
          <t>server:Vercel header exposed</t>
        </is>
      </c>
      <c r="E18" s="2" t="inlineStr">
        <is>
          <t>Both domains now expose 'server: Vercel' response header. Not a security vulnerability but reveals infrastructure. Consider suppressing.</t>
        </is>
      </c>
      <c r="F18" s="2" t="inlineStr">
        <is>
          <t>NEW</t>
        </is>
      </c>
      <c r="G18" s="2" t="inlineStr">
        <is>
          <t>v17</t>
        </is>
      </c>
      <c r="H18" s="2" t="inlineStr">
        <is>
          <t>NEW FINDING</t>
        </is>
      </c>
      <c r="I18" s="2" t="inlineStr">
        <is>
          <t>Monitor</t>
        </is>
      </c>
    </row>
    <row r="19">
      <c r="A19" s="3" t="inlineStr">
        <is>
          <t>V17-007</t>
        </is>
      </c>
      <c r="B19" s="3" t="inlineStr">
        <is>
          <t>HIGH</t>
        </is>
      </c>
      <c r="C19" s="3" t="inlineStr">
        <is>
          <t>Data Integrity</t>
        </is>
      </c>
      <c r="D19" s="3" t="inlineStr">
        <is>
          <t>Dev verification report contains 8 false claims</t>
        </is>
      </c>
      <c r="E19" s="3" t="inlineStr">
        <is>
          <t>Antigravity QA Agent report claims 8 items as DISPUTED (FIXED) that are demonstrably unfixed on the live site. Report accuracy is 33% (4 of 12 claims verified). Performance numbers appear fabricated. This undermines the CI/CD verification process and requires process review.</t>
        </is>
      </c>
      <c r="F19" s="3" t="inlineStr">
        <is>
          <t>NEW</t>
        </is>
      </c>
      <c r="G19" s="3" t="inlineStr">
        <is>
          <t>v17</t>
        </is>
      </c>
      <c r="H19" s="3" t="inlineStr">
        <is>
          <t>NEW FINDING</t>
        </is>
      </c>
      <c r="I19" s="3" t="inlineStr">
        <is>
          <t>Fix before release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40" customWidth="1" min="4" max="4"/>
    <col width="12" customWidth="1" min="5" max="5"/>
    <col width="25" customWidth="1" min="6" max="6"/>
  </cols>
  <sheetData>
    <row r="1">
      <c r="A1" s="1" t="inlineStr">
        <is>
          <t>#</t>
        </is>
      </c>
      <c r="B1" s="1" t="inlineStr">
        <is>
          <t>Claim ID</t>
        </is>
      </c>
      <c r="C1" s="1" t="inlineStr">
        <is>
          <t>What Dev Said</t>
        </is>
      </c>
      <c r="D1" s="1" t="inlineStr">
        <is>
          <t>What We Found</t>
        </is>
      </c>
      <c r="E1" s="1" t="inlineStr">
        <is>
          <t>Verdict</t>
        </is>
      </c>
      <c r="F1" s="1" t="inlineStr">
        <is>
          <t>Evidence</t>
        </is>
      </c>
    </row>
    <row r="2">
      <c r="A2" s="4" t="n">
        <v>1</v>
      </c>
      <c r="B2" s="4" t="inlineStr">
        <is>
          <t>V15-001</t>
        </is>
      </c>
      <c r="C2" s="4" t="inlineStr">
        <is>
          <t>V15-001 Cert# Fixed</t>
        </is>
      </c>
      <c r="D2" s="4" t="inlineStr">
        <is>
          <t>V15-001 Cert# Fixed</t>
        </is>
      </c>
      <c r="E2" s="5" t="inlineStr">
        <is>
          <t>TRUE</t>
        </is>
      </c>
      <c r="F2" s="4" t="inlineStr">
        <is>
          <t>Cert# 84720931 matches slab</t>
        </is>
      </c>
    </row>
    <row r="3">
      <c r="A3" s="4" t="n">
        <v>2</v>
      </c>
      <c r="B3" s="4" t="inlineStr">
        <is>
          <t>V15-002</t>
        </is>
      </c>
      <c r="C3" s="4" t="inlineStr">
        <is>
          <t>V15-002 Admin Build Version</t>
        </is>
      </c>
      <c r="D3" s="4" t="inlineStr">
        <is>
          <t>V15-002 Admin Build Version</t>
        </is>
      </c>
      <c r="E3" s="5" t="inlineStr">
        <is>
          <t>TRUE</t>
        </is>
      </c>
      <c r="F3" s="4" t="inlineStr">
        <is>
          <t>CVOS v0.85.0 displayed</t>
        </is>
      </c>
    </row>
    <row r="4">
      <c r="A4" s="4" t="n">
        <v>3</v>
      </c>
      <c r="B4" s="4" t="inlineStr">
        <is>
          <t>V15-003</t>
        </is>
      </c>
      <c r="C4" s="4" t="inlineStr">
        <is>
          <t>V15-003 Activity Log Timestamps</t>
        </is>
      </c>
      <c r="D4" s="4" t="inlineStr">
        <is>
          <t>V15-003 Activity Log Timestamps</t>
        </is>
      </c>
      <c r="E4" s="5" t="inlineStr">
        <is>
          <t>TRUE</t>
        </is>
      </c>
      <c r="F4" s="4" t="inlineStr">
        <is>
          <t>Timestamps show '3 Apr 2026, 22:45' format</t>
        </is>
      </c>
    </row>
    <row r="5">
      <c r="A5" s="4" t="n">
        <v>4</v>
      </c>
      <c r="B5" s="4" t="inlineStr">
        <is>
          <t>V15-004</t>
        </is>
      </c>
      <c r="C5" s="4" t="inlineStr">
        <is>
          <t>V15-004 Promo Banners Empty State</t>
        </is>
      </c>
      <c r="D5" s="4" t="inlineStr">
        <is>
          <t>V15-004 Promo Banners Empty State</t>
        </is>
      </c>
      <c r="E5" s="5" t="inlineStr">
        <is>
          <t>TRUE</t>
        </is>
      </c>
      <c r="F5" s="4" t="inlineStr">
        <is>
          <t>Shows 'No promo banners configured.' (URL changed to /admin/banners)</t>
        </is>
      </c>
    </row>
    <row r="6">
      <c r="A6" s="6" t="n">
        <v>5</v>
      </c>
      <c r="B6" s="6" t="inlineStr">
        <is>
          <t>V13-002</t>
        </is>
      </c>
      <c r="C6" s="6" t="inlineStr">
        <is>
          <t>Absolutely zero tokens, cv_session, or bypass hashes stored</t>
        </is>
      </c>
      <c r="D6" s="6" t="inlineStr">
        <is>
          <t>localStorage contains: cardvault-auth-storage with isAdmin:true, userRole:ADMIN; cardvault_user with isAdmin:true; cv_session:26jo2e3fxqn</t>
        </is>
      </c>
      <c r="E6" s="6" t="inlineStr">
        <is>
          <t>FALSE</t>
        </is>
      </c>
      <c r="F6" s="6" t="inlineStr">
        <is>
          <t>CRITICAL — dev report directly contradicts live evidence</t>
        </is>
      </c>
    </row>
    <row r="7">
      <c r="A7" s="6" t="n">
        <v>6</v>
      </c>
      <c r="B7" s="6" t="inlineStr">
        <is>
          <t>V13-009</t>
        </is>
      </c>
      <c r="C7" s="6" t="inlineStr">
        <is>
          <t>DB models natively enabling physical dynamic grade labels to properly map</t>
        </is>
      </c>
      <c r="D7" s="6" t="inlineStr">
        <is>
          <t>Badge shows UGA 9, card details shows 'Graded (UGA 9)', slab shows GEM MT 10</t>
        </is>
      </c>
      <c r="E7" s="6" t="inlineStr">
        <is>
          <t>FALSE</t>
        </is>
      </c>
      <c r="F7" s="6" t="inlineStr">
        <is>
          <t>HIGH</t>
        </is>
      </c>
    </row>
    <row r="8">
      <c r="A8" s="6" t="n">
        <v>7</v>
      </c>
      <c r="B8" s="6" t="inlineStr">
        <is>
          <t>V13-010</t>
        </is>
      </c>
      <c r="C8" s="6" t="inlineStr">
        <is>
          <t>Escrow endpoints seamlessly cross-patch into sold/traded status</t>
        </is>
      </c>
      <c r="D8" s="6" t="inlineStr">
        <is>
          <t>Ohtani Rp 25M completed but listing still shows 'active' in admin</t>
        </is>
      </c>
      <c r="E8" s="6" t="inlineStr">
        <is>
          <t>FALSE</t>
        </is>
      </c>
      <c r="F8" s="6" t="inlineStr">
        <is>
          <t>HIGH</t>
        </is>
      </c>
    </row>
    <row r="9">
      <c r="A9" s="6" t="n">
        <v>8</v>
      </c>
      <c r="B9" s="6" t="inlineStr">
        <is>
          <t>V13-011</t>
        </is>
      </c>
      <c r="C9" s="6" t="inlineStr">
        <is>
          <t>Date objects mapped to strict absolute en-GB</t>
        </is>
      </c>
      <c r="D9" s="6" t="inlineStr">
        <is>
          <t>Transactions: 03 Apr 2026, Financials: 01 Apr 2026 — still mismatched</t>
        </is>
      </c>
      <c r="E9" s="6" t="inlineStr">
        <is>
          <t>FALSE</t>
        </is>
      </c>
      <c r="F9" s="6" t="inlineStr">
        <is>
          <t>HIGH</t>
        </is>
      </c>
    </row>
    <row r="10">
      <c r="A10" s="6" t="n">
        <v>9</v>
      </c>
      <c r="B10" s="6" t="inlineStr">
        <is>
          <t>V13-012</t>
        </is>
      </c>
      <c r="C10" s="6" t="inlineStr">
        <is>
          <t>High value &gt; Rp10M transactions forcibly invoke strict unclosable Client Modals</t>
        </is>
      </c>
      <c r="D10" s="6" t="inlineStr">
        <is>
          <t>John Collector KYC REJECTED/UNVERIFIED still has completed Rp 25M transaction</t>
        </is>
      </c>
      <c r="E10" s="6" t="inlineStr">
        <is>
          <t>FALSE</t>
        </is>
      </c>
      <c r="F10" s="6" t="inlineStr">
        <is>
          <t>HIGH</t>
        </is>
      </c>
    </row>
    <row r="11">
      <c r="A11" s="6" t="n">
        <v>10</v>
      </c>
      <c r="B11" s="6" t="inlineStr">
        <is>
          <t>V14-002</t>
        </is>
      </c>
      <c r="C11" s="6" t="inlineStr">
        <is>
          <t>Reconciled image parameters sequentially over Ohtani entries</t>
        </is>
      </c>
      <c r="D11" s="6" t="inlineStr">
        <is>
          <t>Ohtani listing still displays Aaron Judge slab with '2024 BOWMAN CHROME AARON JUDGE' label</t>
        </is>
      </c>
      <c r="E11" s="6" t="inlineStr">
        <is>
          <t>FALSE</t>
        </is>
      </c>
      <c r="F11" s="6" t="inlineStr">
        <is>
          <t>HIGH</t>
        </is>
      </c>
    </row>
    <row r="12">
      <c r="A12" s="6" t="n">
        <v>11</v>
      </c>
      <c r="B12" s="6" t="inlineStr">
        <is>
          <t>V14-005</t>
        </is>
      </c>
      <c r="C12" s="6" t="inlineStr">
        <is>
          <t>Verified wildcard CORS mapping correctly encompasses Edge domain limits</t>
        </is>
      </c>
      <c r="D12" s="6" t="inlineStr">
        <is>
          <t>admin.cardvault.id Access-Control-Allow-Origin still returns https://beta.cardvault.id only</t>
        </is>
      </c>
      <c r="E12" s="6" t="inlineStr">
        <is>
          <t>FALSE</t>
        </is>
      </c>
      <c r="F12" s="6" t="inlineStr">
        <is>
          <t>MEDIUM</t>
        </is>
      </c>
    </row>
    <row r="13">
      <c r="A13" s="6" t="n">
        <v>12</v>
      </c>
      <c r="B13" s="6" t="inlineStr">
        <is>
          <t>Performance:</t>
        </is>
      </c>
      <c r="C13" s="6" t="inlineStr">
        <is>
          <t>~150-185ms properly intercepted dynamically across Vercel layers</t>
        </is>
      </c>
      <c r="D13" s="6" t="inlineStr">
        <is>
          <t>Measured 740ms TTFB (4-5x worse than claimed)</t>
        </is>
      </c>
      <c r="E13" s="6" t="inlineStr">
        <is>
          <t>FALSE</t>
        </is>
      </c>
      <c r="F13" s="6" t="inlineStr">
        <is>
          <t>HIGH — performance numbers fabricated</t>
        </is>
      </c>
    </row>
    <row r="14">
      <c r="A14" s="7" t="inlineStr"/>
      <c r="B14" s="7" t="inlineStr"/>
      <c r="C14" s="7" t="inlineStr"/>
      <c r="D14" s="7" t="inlineStr"/>
      <c r="E14" s="7" t="inlineStr">
        <is>
          <t>Accuracy: 33% (4/12)</t>
        </is>
      </c>
      <c r="F14" s="7" t="inlineStr"/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v16 State</t>
        </is>
      </c>
      <c r="D1" s="1" t="inlineStr">
        <is>
          <t>v17 State</t>
        </is>
      </c>
      <c r="E1" s="1" t="inlineStr">
        <is>
          <t>Status</t>
        </is>
      </c>
      <c r="F1" s="1" t="inlineStr">
        <is>
          <t>Change</t>
        </is>
      </c>
    </row>
    <row r="2">
      <c r="A2" s="2" t="inlineStr">
        <is>
          <t>V13-002</t>
        </is>
      </c>
      <c r="B2" s="2" t="inlineStr">
        <is>
          <t>Admin role in localStorage</t>
        </is>
      </c>
      <c r="C2" s="2" t="inlineStr">
        <is>
          <t>Open</t>
        </is>
      </c>
      <c r="D2" s="2" t="inlineStr">
        <is>
          <t>Open</t>
        </is>
      </c>
      <c r="E2" s="2" t="inlineStr">
        <is>
          <t>NOT FIXED</t>
        </is>
      </c>
      <c r="F2" s="2" t="inlineStr">
        <is>
          <t>MAINTAINED</t>
        </is>
      </c>
    </row>
    <row r="3">
      <c r="A3" s="3" t="inlineStr">
        <is>
          <t>V13-009</t>
        </is>
      </c>
      <c r="B3" s="3" t="inlineStr">
        <is>
          <t>Grade badge contradicts slab</t>
        </is>
      </c>
      <c r="C3" s="3" t="inlineStr">
        <is>
          <t>Open</t>
        </is>
      </c>
      <c r="D3" s="3" t="inlineStr">
        <is>
          <t>Open</t>
        </is>
      </c>
      <c r="E3" s="3" t="inlineStr">
        <is>
          <t>NOT FIXED</t>
        </is>
      </c>
      <c r="F3" s="3" t="inlineStr">
        <is>
          <t>MAINTAINED</t>
        </is>
      </c>
    </row>
    <row r="4">
      <c r="A4" s="2" t="inlineStr">
        <is>
          <t>V13-010</t>
        </is>
      </c>
      <c r="B4" s="2" t="inlineStr">
        <is>
          <t>Completed transaction listing still active</t>
        </is>
      </c>
      <c r="C4" s="2" t="inlineStr">
        <is>
          <t>Open</t>
        </is>
      </c>
      <c r="D4" s="2" t="inlineStr">
        <is>
          <t>Open</t>
        </is>
      </c>
      <c r="E4" s="2" t="inlineStr">
        <is>
          <t>NOT FIXED</t>
        </is>
      </c>
      <c r="F4" s="2" t="inlineStr">
        <is>
          <t>MAINTAINED</t>
        </is>
      </c>
    </row>
    <row r="5">
      <c r="A5" s="3" t="inlineStr">
        <is>
          <t>V13-011</t>
        </is>
      </c>
      <c r="B5" s="3" t="inlineStr">
        <is>
          <t>Date mismatch across admin pages</t>
        </is>
      </c>
      <c r="C5" s="3" t="inlineStr">
        <is>
          <t>Open</t>
        </is>
      </c>
      <c r="D5" s="3" t="inlineStr">
        <is>
          <t>Open</t>
        </is>
      </c>
      <c r="E5" s="3" t="inlineStr">
        <is>
          <t>NOT FIXED</t>
        </is>
      </c>
      <c r="F5" s="3" t="inlineStr">
        <is>
          <t>MAINTAINED</t>
        </is>
      </c>
    </row>
    <row r="6">
      <c r="A6" s="2" t="inlineStr">
        <is>
          <t>V13-012</t>
        </is>
      </c>
      <c r="B6" s="2" t="inlineStr">
        <is>
          <t>No KYC enforcement for high-value transactions</t>
        </is>
      </c>
      <c r="C6" s="2" t="inlineStr">
        <is>
          <t>Open</t>
        </is>
      </c>
      <c r="D6" s="2" t="inlineStr">
        <is>
          <t>Open</t>
        </is>
      </c>
      <c r="E6" s="2" t="inlineStr">
        <is>
          <t>NOT FIXED</t>
        </is>
      </c>
      <c r="F6" s="2" t="inlineStr">
        <is>
          <t>MAINTAINED</t>
        </is>
      </c>
    </row>
    <row r="7">
      <c r="A7" s="3" t="inlineStr">
        <is>
          <t>V13-019</t>
        </is>
      </c>
      <c r="B7" s="3" t="inlineStr">
        <is>
          <t>Chart Y-axis label VOLUME (IDR)</t>
        </is>
      </c>
      <c r="C7" s="3" t="inlineStr">
        <is>
          <t>Open</t>
        </is>
      </c>
      <c r="D7" s="3" t="inlineStr">
        <is>
          <t>Open</t>
        </is>
      </c>
      <c r="E7" s="3" t="inlineStr">
        <is>
          <t>NOT FIXED</t>
        </is>
      </c>
      <c r="F7" s="3" t="inlineStr">
        <is>
          <t>MAINTAINED</t>
        </is>
      </c>
    </row>
    <row r="8">
      <c r="A8" s="2" t="inlineStr">
        <is>
          <t>V14-002</t>
        </is>
      </c>
      <c r="B8" s="2" t="inlineStr">
        <is>
          <t>Ohtani listing shows Aaron Judge image</t>
        </is>
      </c>
      <c r="C8" s="2" t="inlineStr">
        <is>
          <t>Open</t>
        </is>
      </c>
      <c r="D8" s="2" t="inlineStr">
        <is>
          <t>Open</t>
        </is>
      </c>
      <c r="E8" s="2" t="inlineStr">
        <is>
          <t>NOT FIXED</t>
        </is>
      </c>
      <c r="F8" s="2" t="inlineStr">
        <is>
          <t>MAINTAINED</t>
        </is>
      </c>
    </row>
    <row r="9">
      <c r="A9" s="3" t="inlineStr">
        <is>
          <t>V14-005</t>
        </is>
      </c>
      <c r="B9" s="3" t="inlineStr">
        <is>
          <t>CORS on admin returns beta origin only</t>
        </is>
      </c>
      <c r="C9" s="3" t="inlineStr">
        <is>
          <t>Open</t>
        </is>
      </c>
      <c r="D9" s="3" t="inlineStr">
        <is>
          <t>Open</t>
        </is>
      </c>
      <c r="E9" s="3" t="inlineStr">
        <is>
          <t>NOT FIXED</t>
        </is>
      </c>
      <c r="F9" s="3" t="inlineStr">
        <is>
          <t>MAINTAINED</t>
        </is>
      </c>
    </row>
    <row r="10">
      <c r="A10" s="2" t="inlineStr">
        <is>
          <t>V15-005</t>
        </is>
      </c>
      <c r="B10" s="2" t="inlineStr">
        <is>
          <t>/api/notifications polling every ~30s</t>
        </is>
      </c>
      <c r="C10" s="2" t="inlineStr">
        <is>
          <t>Open</t>
        </is>
      </c>
      <c r="D10" s="2" t="inlineStr">
        <is>
          <t>Open</t>
        </is>
      </c>
      <c r="E10" s="2" t="inlineStr">
        <is>
          <t>NOT FIXED</t>
        </is>
      </c>
      <c r="F10" s="2" t="inlineStr">
        <is>
          <t>MAINTAINED</t>
        </is>
      </c>
    </row>
    <row r="11">
      <c r="A11" s="3" t="inlineStr">
        <is>
          <t>V15-006</t>
        </is>
      </c>
      <c r="B11" s="3" t="inlineStr">
        <is>
          <t>style-src unsafe-inline fallback</t>
        </is>
      </c>
      <c r="C11" s="3" t="inlineStr">
        <is>
          <t>Open</t>
        </is>
      </c>
      <c r="D11" s="3" t="inlineStr">
        <is>
          <t>Open</t>
        </is>
      </c>
      <c r="E11" s="3" t="inlineStr">
        <is>
          <t>NOT FIXED</t>
        </is>
      </c>
      <c r="F11" s="3" t="inlineStr">
        <is>
          <t>MAINTAINED</t>
        </is>
      </c>
    </row>
    <row r="12">
      <c r="A12" s="2" t="inlineStr">
        <is>
          <t>V16-002</t>
        </is>
      </c>
      <c r="B12" s="2" t="inlineStr">
        <is>
          <t>Home page banners hardcoded vs admin empty</t>
        </is>
      </c>
      <c r="C12" s="2" t="inlineStr">
        <is>
          <t>Open</t>
        </is>
      </c>
      <c r="D12" s="2" t="inlineStr">
        <is>
          <t>Open</t>
        </is>
      </c>
      <c r="E12" s="2" t="inlineStr">
        <is>
          <t>NOT FIXED</t>
        </is>
      </c>
      <c r="F12" s="2" t="inlineStr">
        <is>
          <t>MAINTAINED</t>
        </is>
      </c>
    </row>
    <row r="13">
      <c r="A13" s="3" t="inlineStr">
        <is>
          <t>V17-001</t>
        </is>
      </c>
      <c r="B13" s="3" t="inlineStr">
        <is>
          <t>Home page TTFB regression to 740ms</t>
        </is>
      </c>
      <c r="C13" s="3" t="inlineStr">
        <is>
          <t>N/A</t>
        </is>
      </c>
      <c r="D13" s="3" t="inlineStr">
        <is>
          <t>Open</t>
        </is>
      </c>
      <c r="E13" s="3" t="inlineStr">
        <is>
          <t>NEW</t>
        </is>
      </c>
      <c r="F13" s="3" t="inlineStr">
        <is>
          <t>NEW</t>
        </is>
      </c>
    </row>
    <row r="14">
      <c r="A14" s="2" t="inlineStr">
        <is>
          <t>V17-002</t>
        </is>
      </c>
      <c r="B14" s="2" t="inlineStr">
        <is>
          <t>Card images broken on Explore page (blue placeholders)</t>
        </is>
      </c>
      <c r="C14" s="2" t="inlineStr">
        <is>
          <t>N/A</t>
        </is>
      </c>
      <c r="D14" s="2" t="inlineStr">
        <is>
          <t>Open</t>
        </is>
      </c>
      <c r="E14" s="2" t="inlineStr">
        <is>
          <t>NEW</t>
        </is>
      </c>
      <c r="F14" s="2" t="inlineStr">
        <is>
          <t>REGRESSION</t>
        </is>
      </c>
    </row>
    <row r="15">
      <c r="A15" s="3" t="inlineStr">
        <is>
          <t>V17-003</t>
        </is>
      </c>
      <c r="B15" s="3" t="inlineStr">
        <is>
          <t>/api/views endpoint regressed to 2205ms</t>
        </is>
      </c>
      <c r="C15" s="3" t="inlineStr">
        <is>
          <t>N/A</t>
        </is>
      </c>
      <c r="D15" s="3" t="inlineStr">
        <is>
          <t>Open</t>
        </is>
      </c>
      <c r="E15" s="3" t="inlineStr">
        <is>
          <t>NEW</t>
        </is>
      </c>
      <c r="F15" s="3" t="inlineStr">
        <is>
          <t>REGRESSION</t>
        </is>
      </c>
    </row>
    <row r="16">
      <c r="A16" s="2" t="inlineStr">
        <is>
          <t>V17-004</t>
        </is>
      </c>
      <c r="B16" s="2" t="inlineStr">
        <is>
          <t>Admin /admin/dashboard direct URL returns 404</t>
        </is>
      </c>
      <c r="C16" s="2" t="inlineStr">
        <is>
          <t>N/A</t>
        </is>
      </c>
      <c r="D16" s="2" t="inlineStr">
        <is>
          <t>Open</t>
        </is>
      </c>
      <c r="E16" s="2" t="inlineStr">
        <is>
          <t>NEW</t>
        </is>
      </c>
      <c r="F16" s="2" t="inlineStr">
        <is>
          <t>NEW</t>
        </is>
      </c>
    </row>
    <row r="17">
      <c r="A17" s="3" t="inlineStr">
        <is>
          <t>V17-005</t>
        </is>
      </c>
      <c r="B17" s="3" t="inlineStr">
        <is>
          <t>Admin Promo Banners URL changed without redirect</t>
        </is>
      </c>
      <c r="C17" s="3" t="inlineStr">
        <is>
          <t>N/A</t>
        </is>
      </c>
      <c r="D17" s="3" t="inlineStr">
        <is>
          <t>Open</t>
        </is>
      </c>
      <c r="E17" s="3" t="inlineStr">
        <is>
          <t>NEW</t>
        </is>
      </c>
      <c r="F17" s="3" t="inlineStr">
        <is>
          <t>NEW</t>
        </is>
      </c>
    </row>
    <row r="18">
      <c r="A18" s="2" t="inlineStr">
        <is>
          <t>V17-006</t>
        </is>
      </c>
      <c r="B18" s="2" t="inlineStr">
        <is>
          <t>server:Vercel header exposed</t>
        </is>
      </c>
      <c r="C18" s="2" t="inlineStr">
        <is>
          <t>N/A</t>
        </is>
      </c>
      <c r="D18" s="2" t="inlineStr">
        <is>
          <t>Open</t>
        </is>
      </c>
      <c r="E18" s="2" t="inlineStr">
        <is>
          <t>NEW</t>
        </is>
      </c>
      <c r="F18" s="2" t="inlineStr">
        <is>
          <t>NEW</t>
        </is>
      </c>
    </row>
    <row r="19">
      <c r="A19" s="3" t="inlineStr">
        <is>
          <t>V17-007</t>
        </is>
      </c>
      <c r="B19" s="3" t="inlineStr">
        <is>
          <t>Dev verification report contains 8 false claims</t>
        </is>
      </c>
      <c r="C19" s="3" t="inlineStr">
        <is>
          <t>N/A</t>
        </is>
      </c>
      <c r="D19" s="3" t="inlineStr">
        <is>
          <t>Open</t>
        </is>
      </c>
      <c r="E19" s="3" t="inlineStr">
        <is>
          <t>NEW</t>
        </is>
      </c>
      <c r="F19" s="3" t="inlineStr">
        <is>
          <t>NEW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0" customWidth="1" min="4" max="4"/>
    <col width="25" customWidth="1" min="5" max="5"/>
    <col width="25" customWidth="1" min="6" max="6"/>
    <col width="8" customWidth="1" min="7" max="7"/>
    <col width="15" customWidth="1" min="8" max="8"/>
  </cols>
  <sheetData>
    <row r="1">
      <c r="A1" s="1" t="inlineStr">
        <is>
          <t>TC-ID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Related Finding</t>
        </is>
      </c>
    </row>
    <row r="2">
      <c r="A2" s="2" t="inlineStr">
        <is>
          <t>TC-SEC-001</t>
        </is>
      </c>
      <c r="B2" s="2" t="inlineStr">
        <is>
          <t>Security</t>
        </is>
      </c>
      <c r="C2" s="2" t="inlineStr">
        <is>
          <t>localStorage Purge on Logout</t>
        </is>
      </c>
      <c r="D2" s="2" t="inlineStr">
        <is>
          <t>User logged in, isAdmin:true in storage</t>
        </is>
      </c>
      <c r="E2" s="2" t="inlineStr">
        <is>
          <t>1. Navigate to /logout 2. Check localStorage</t>
        </is>
      </c>
      <c r="F2" s="2" t="inlineStr">
        <is>
          <t>localStorage cleared completely; no auth tokens remain</t>
        </is>
      </c>
      <c r="G2" s="2" t="inlineStr">
        <is>
          <t>P0</t>
        </is>
      </c>
      <c r="H2" s="2" t="inlineStr">
        <is>
          <t>V13-002</t>
        </is>
      </c>
    </row>
    <row r="3">
      <c r="A3" s="3" t="inlineStr">
        <is>
          <t>TC-SEC-002</t>
        </is>
      </c>
      <c r="B3" s="3" t="inlineStr">
        <is>
          <t>Security</t>
        </is>
      </c>
      <c r="C3" s="3" t="inlineStr">
        <is>
          <t>httpOnly Cookie Verification</t>
        </is>
      </c>
      <c r="D3" s="3" t="inlineStr">
        <is>
          <t>Admin session active</t>
        </is>
      </c>
      <c r="E3" s="3" t="inlineStr">
        <is>
          <t>1. Open DevTools 2. Check Application &gt; Cookies</t>
        </is>
      </c>
      <c r="F3" s="3" t="inlineStr">
        <is>
          <t>No sensitive tokens visible; httpOnly flag set</t>
        </is>
      </c>
      <c r="G3" s="3" t="inlineStr">
        <is>
          <t>P0</t>
        </is>
      </c>
      <c r="H3" s="3" t="inlineStr">
        <is>
          <t>V13-002</t>
        </is>
      </c>
    </row>
    <row r="4">
      <c r="A4" s="2" t="inlineStr">
        <is>
          <t>TC-SEC-003</t>
        </is>
      </c>
      <c r="B4" s="2" t="inlineStr">
        <is>
          <t>Security</t>
        </is>
      </c>
      <c r="C4" s="2" t="inlineStr">
        <is>
          <t>CORS Admin Endpoint Restriction</t>
        </is>
      </c>
      <c r="D4" s="2" t="inlineStr">
        <is>
          <t>Admin domain open</t>
        </is>
      </c>
      <c r="E4" s="2" t="inlineStr">
        <is>
          <t>1. From beta.cardvault.id fetch /admin API 2. Check headers</t>
        </is>
      </c>
      <c r="F4" s="2" t="inlineStr">
        <is>
          <t>Access-Control-Allow-Origin should be admin domain only</t>
        </is>
      </c>
      <c r="G4" s="2" t="inlineStr">
        <is>
          <t>P1</t>
        </is>
      </c>
      <c r="H4" s="2" t="inlineStr">
        <is>
          <t>V14-005</t>
        </is>
      </c>
    </row>
    <row r="5">
      <c r="A5" s="3" t="inlineStr">
        <is>
          <t>TC-SEC-004</t>
        </is>
      </c>
      <c r="B5" s="3" t="inlineStr">
        <is>
          <t>Security</t>
        </is>
      </c>
      <c r="C5" s="3" t="inlineStr">
        <is>
          <t>CSP Nonce Verification</t>
        </is>
      </c>
      <c r="D5" s="3" t="inlineStr">
        <is>
          <t>Home page loaded</t>
        </is>
      </c>
      <c r="E5" s="3" t="inlineStr">
        <is>
          <t>1. Inspect &lt;script&gt; tags 2. Note nonce value 3. Reload page</t>
        </is>
      </c>
      <c r="F5" s="3" t="inlineStr">
        <is>
          <t>Each reload has unique nonce; nonce in CSP header matches</t>
        </is>
      </c>
      <c r="G5" s="3" t="inlineStr">
        <is>
          <t>P0</t>
        </is>
      </c>
      <c r="H5" s="3" t="inlineStr">
        <is>
          <t>V13-002</t>
        </is>
      </c>
    </row>
    <row r="6">
      <c r="A6" s="2" t="inlineStr">
        <is>
          <t>TC-SEC-005</t>
        </is>
      </c>
      <c r="B6" s="2" t="inlineStr">
        <is>
          <t>Security</t>
        </is>
      </c>
      <c r="C6" s="2" t="inlineStr">
        <is>
          <t>OWASP Top 10 Compliance</t>
        </is>
      </c>
      <c r="D6" s="2" t="inlineStr">
        <is>
          <t>All pages</t>
        </is>
      </c>
      <c r="E6" s="2" t="inlineStr">
        <is>
          <t>1. Run OWASP ZAP scan 2. Review findings</t>
        </is>
      </c>
      <c r="F6" s="2" t="inlineStr">
        <is>
          <t>No critical vulnerabilities; localStorage issue flagged</t>
        </is>
      </c>
      <c r="G6" s="2" t="inlineStr">
        <is>
          <t>P1</t>
        </is>
      </c>
      <c r="H6" s="2" t="inlineStr">
        <is>
          <t>V13-002</t>
        </is>
      </c>
    </row>
    <row r="7">
      <c r="A7" s="3" t="inlineStr">
        <is>
          <t>TC-SEC-006</t>
        </is>
      </c>
      <c r="B7" s="3" t="inlineStr">
        <is>
          <t>Security</t>
        </is>
      </c>
      <c r="C7" s="3" t="inlineStr">
        <is>
          <t>Server Header Suppression</t>
        </is>
      </c>
      <c r="D7" s="3" t="inlineStr">
        <is>
          <t>Both domains accessed</t>
        </is>
      </c>
      <c r="E7" s="3" t="inlineStr">
        <is>
          <t>1. Inspect Response Headers 2. Check 'server' header</t>
        </is>
      </c>
      <c r="F7" s="3" t="inlineStr">
        <is>
          <t>No infrastructure details exposed or minimized</t>
        </is>
      </c>
      <c r="G7" s="3" t="inlineStr">
        <is>
          <t>P2</t>
        </is>
      </c>
      <c r="H7" s="3" t="inlineStr">
        <is>
          <t>V17-006</t>
        </is>
      </c>
    </row>
    <row r="8">
      <c r="A8" s="2" t="inlineStr">
        <is>
          <t>TC-DATA-001</t>
        </is>
      </c>
      <c r="B8" s="2" t="inlineStr">
        <is>
          <t>Data Integrity</t>
        </is>
      </c>
      <c r="C8" s="2" t="inlineStr">
        <is>
          <t>Grade Badge vs Slab Consistency</t>
        </is>
      </c>
      <c r="D8" s="2" t="inlineStr">
        <is>
          <t>Graded card viewed (Ohtani)</t>
        </is>
      </c>
      <c r="E8" s="2" t="inlineStr">
        <is>
          <t>1. Open card listing 2. Check badge 3. Go to detail 4. Check slab</t>
        </is>
      </c>
      <c r="F8" s="2" t="inlineStr">
        <is>
          <t>Badge grade = slab grade; no mismatches (UGA/GEM)</t>
        </is>
      </c>
      <c r="G8" s="2" t="inlineStr">
        <is>
          <t>P0</t>
        </is>
      </c>
      <c r="H8" s="2" t="inlineStr">
        <is>
          <t>V13-009</t>
        </is>
      </c>
    </row>
    <row r="9">
      <c r="A9" s="3" t="inlineStr">
        <is>
          <t>TC-DATA-002</t>
        </is>
      </c>
      <c r="B9" s="3" t="inlineStr">
        <is>
          <t>Data Integrity</t>
        </is>
      </c>
      <c r="C9" s="3" t="inlineStr">
        <is>
          <t>Cert# Match with Slab</t>
        </is>
      </c>
      <c r="D9" s="3" t="inlineStr">
        <is>
          <t>Graded card viewed</t>
        </is>
      </c>
      <c r="E9" s="3" t="inlineStr">
        <is>
          <t>1. Check cert# on card 2. Verify against slab record</t>
        </is>
      </c>
      <c r="F9" s="3" t="inlineStr">
        <is>
          <t>Cert# 84720931 matches exactly; no truncation</t>
        </is>
      </c>
      <c r="G9" s="3" t="inlineStr">
        <is>
          <t>P0</t>
        </is>
      </c>
      <c r="H9" s="3" t="inlineStr">
        <is>
          <t>V15-001</t>
        </is>
      </c>
    </row>
    <row r="10">
      <c r="A10" s="2" t="inlineStr">
        <is>
          <t>TC-DATA-003</t>
        </is>
      </c>
      <c r="B10" s="2" t="inlineStr">
        <is>
          <t>Data Integrity</t>
        </is>
      </c>
      <c r="C10" s="2" t="inlineStr">
        <is>
          <t>Transaction Date Consistency</t>
        </is>
      </c>
      <c r="D10" s="2" t="inlineStr">
        <is>
          <t>Transaction viewed in two pages</t>
        </is>
      </c>
      <c r="E10" s="2" t="inlineStr">
        <is>
          <t>1. Go to Transactions page 2. Find transaction 0906f312 3. Go to Financials</t>
        </is>
      </c>
      <c r="F10" s="2" t="inlineStr">
        <is>
          <t>Date matches on both pages (03 Apr 2026)</t>
        </is>
      </c>
      <c r="G10" s="2" t="inlineStr">
        <is>
          <t>P1</t>
        </is>
      </c>
      <c r="H10" s="2" t="inlineStr">
        <is>
          <t>V13-011</t>
        </is>
      </c>
    </row>
    <row r="11">
      <c r="A11" s="3" t="inlineStr">
        <is>
          <t>TC-DATA-004</t>
        </is>
      </c>
      <c r="B11" s="3" t="inlineStr">
        <is>
          <t>Data Integrity</t>
        </is>
      </c>
      <c r="C11" s="3" t="inlineStr">
        <is>
          <t>Card Image Match with Database</t>
        </is>
      </c>
      <c r="D11" s="3" t="inlineStr">
        <is>
          <t>Card listed with image</t>
        </is>
      </c>
      <c r="E11" s="3" t="inlineStr">
        <is>
          <t>1. View card listing 2. Compare with DB image URL 3. Check alt text</t>
        </is>
      </c>
      <c r="F11" s="3" t="inlineStr">
        <is>
          <t>Image src matches DB; alt text correct (no Judge for Ohtani)</t>
        </is>
      </c>
      <c r="G11" s="3" t="inlineStr">
        <is>
          <t>P1</t>
        </is>
      </c>
      <c r="H11" s="3" t="inlineStr">
        <is>
          <t>V14-002</t>
        </is>
      </c>
    </row>
    <row r="12">
      <c r="A12" s="2" t="inlineStr">
        <is>
          <t>TC-DATA-005</t>
        </is>
      </c>
      <c r="B12" s="2" t="inlineStr">
        <is>
          <t>Data Integrity</t>
        </is>
      </c>
      <c r="C12" s="2" t="inlineStr">
        <is>
          <t>KYC Enforcement for High-Value Transactions</t>
        </is>
      </c>
      <c r="D12" s="2" t="inlineStr">
        <is>
          <t>KYC-rejected user attempts transaction &gt;Rp10M</t>
        </is>
      </c>
      <c r="E12" s="2" t="inlineStr">
        <is>
          <t>1. Log in as KYC-rejected user 2. Attempt Rp 25M transaction</t>
        </is>
      </c>
      <c r="F12" s="2" t="inlineStr">
        <is>
          <t>Modal blocks transaction; enforces KYC completion</t>
        </is>
      </c>
      <c r="G12" s="2" t="inlineStr">
        <is>
          <t>P0</t>
        </is>
      </c>
      <c r="H12" s="2" t="inlineStr">
        <is>
          <t>V13-012</t>
        </is>
      </c>
    </row>
    <row r="13">
      <c r="A13" s="3" t="inlineStr">
        <is>
          <t>TC-DATA-006</t>
        </is>
      </c>
      <c r="B13" s="3" t="inlineStr">
        <is>
          <t>Data Integrity</t>
        </is>
      </c>
      <c r="C13" s="3" t="inlineStr">
        <is>
          <t>Listing Status After Sale</t>
        </is>
      </c>
      <c r="D13" s="3" t="inlineStr">
        <is>
          <t>Rp 25M Ohtani transaction completed</t>
        </is>
      </c>
      <c r="E13" s="3" t="inlineStr">
        <is>
          <t>1. Check admin listing status 2. Verify transaction log</t>
        </is>
      </c>
      <c r="F13" s="3" t="inlineStr">
        <is>
          <t>Listing marked 'sold' or 'inactive'; not 'active'</t>
        </is>
      </c>
      <c r="G13" s="3" t="inlineStr">
        <is>
          <t>P0</t>
        </is>
      </c>
      <c r="H13" s="3" t="inlineStr">
        <is>
          <t>V13-010</t>
        </is>
      </c>
    </row>
    <row r="14">
      <c r="A14" s="2" t="inlineStr">
        <is>
          <t>TC-FUNC-001</t>
        </is>
      </c>
      <c r="B14" s="2" t="inlineStr">
        <is>
          <t>Functionality</t>
        </is>
      </c>
      <c r="C14" s="2" t="inlineStr">
        <is>
          <t>Promo Banners CMS Sync</t>
        </is>
      </c>
      <c r="D14" s="2" t="inlineStr">
        <is>
          <t>Admin /admin/banners page open</t>
        </is>
      </c>
      <c r="E14" s="2" t="inlineStr">
        <is>
          <t>1. Add banner in admin 2. Refresh consumer home</t>
        </is>
      </c>
      <c r="F14" s="2" t="inlineStr">
        <is>
          <t>Banner appears on home within 60s; or hardcoded correctly</t>
        </is>
      </c>
      <c r="G14" s="2" t="inlineStr">
        <is>
          <t>P1</t>
        </is>
      </c>
      <c r="H14" s="2" t="inlineStr">
        <is>
          <t>V16-002</t>
        </is>
      </c>
    </row>
    <row r="15">
      <c r="A15" s="3" t="inlineStr">
        <is>
          <t>TC-FUNC-002</t>
        </is>
      </c>
      <c r="B15" s="3" t="inlineStr">
        <is>
          <t>Functionality</t>
        </is>
      </c>
      <c r="C15" s="3" t="inlineStr">
        <is>
          <t>Admin URL Routing to /admin/dashboard</t>
        </is>
      </c>
      <c r="D15" s="3" t="inlineStr">
        <is>
          <t>Admin home page</t>
        </is>
      </c>
      <c r="E15" s="3" t="inlineStr">
        <is>
          <t>1. Bookmark /admin/dashboard 2. Navigate directly</t>
        </is>
      </c>
      <c r="F15" s="3" t="inlineStr">
        <is>
          <t>Page loads with no 404; shows dashboard</t>
        </is>
      </c>
      <c r="G15" s="3" t="inlineStr">
        <is>
          <t>P1</t>
        </is>
      </c>
      <c r="H15" s="3" t="inlineStr">
        <is>
          <t>V17-004</t>
        </is>
      </c>
    </row>
    <row r="16">
      <c r="A16" s="2" t="inlineStr">
        <is>
          <t>TC-FUNC-003</t>
        </is>
      </c>
      <c r="B16" s="2" t="inlineStr">
        <is>
          <t>Functionality</t>
        </is>
      </c>
      <c r="C16" s="2" t="inlineStr">
        <is>
          <t>Admin Dashboard Redirect from /promo-banners</t>
        </is>
      </c>
      <c r="D16" s="2" t="inlineStr">
        <is>
          <t>Old bookmark /admin/promo-banners</t>
        </is>
      </c>
      <c r="E16" s="2" t="inlineStr">
        <is>
          <t>1. Navigate to old URL 2. Check response</t>
        </is>
      </c>
      <c r="F16" s="2" t="inlineStr">
        <is>
          <t>301/302 redirect to /admin/banners or direct access works</t>
        </is>
      </c>
      <c r="G16" s="2" t="inlineStr">
        <is>
          <t>P2</t>
        </is>
      </c>
      <c r="H16" s="2" t="inlineStr">
        <is>
          <t>V17-005</t>
        </is>
      </c>
    </row>
    <row r="17">
      <c r="A17" s="3" t="inlineStr">
        <is>
          <t>TC-FUNC-004</t>
        </is>
      </c>
      <c r="B17" s="3" t="inlineStr">
        <is>
          <t>Functionality</t>
        </is>
      </c>
      <c r="C17" s="3" t="inlineStr">
        <is>
          <t>Card Explore Thumbnails Load</t>
        </is>
      </c>
      <c r="D17" s="3" t="inlineStr">
        <is>
          <t>Explore page with 4+ cards</t>
        </is>
      </c>
      <c r="E17" s="3" t="inlineStr">
        <is>
          <t>1. Load Explore page 2. Wait 3s 3. Inspect card images</t>
        </is>
      </c>
      <c r="F17" s="3" t="inlineStr">
        <is>
          <t>All card/slab images visible; no blue placeholders</t>
        </is>
      </c>
      <c r="G17" s="3" t="inlineStr">
        <is>
          <t>P0</t>
        </is>
      </c>
      <c r="H17" s="3" t="inlineStr">
        <is>
          <t>V17-002</t>
        </is>
      </c>
    </row>
    <row r="18">
      <c r="A18" s="2" t="inlineStr">
        <is>
          <t>TC-FUNC-005</t>
        </is>
      </c>
      <c r="B18" s="2" t="inlineStr">
        <is>
          <t>Functionality</t>
        </is>
      </c>
      <c r="C18" s="2" t="inlineStr">
        <is>
          <t>Collection Value Calculation</t>
        </is>
      </c>
      <c r="D18" s="2" t="inlineStr">
        <is>
          <t>Collection with 5+ cards</t>
        </is>
      </c>
      <c r="E18" s="2" t="inlineStr">
        <is>
          <t>1. View Collection page 2. Check total value 3. Manually sum</t>
        </is>
      </c>
      <c r="F18" s="2" t="inlineStr">
        <is>
          <t>Total = sum of all card values; correct currency (Rp)</t>
        </is>
      </c>
      <c r="G18" s="2" t="inlineStr">
        <is>
          <t>P1</t>
        </is>
      </c>
      <c r="H18" s="2" t="inlineStr">
        <is>
          <t>V13-009</t>
        </is>
      </c>
    </row>
    <row r="19">
      <c r="A19" s="3" t="inlineStr">
        <is>
          <t>TC-PERF-001</t>
        </is>
      </c>
      <c r="B19" s="3" t="inlineStr">
        <is>
          <t>Performance</t>
        </is>
      </c>
      <c r="C19" s="3" t="inlineStr">
        <is>
          <t>Home Page TTFB &lt;500ms</t>
        </is>
      </c>
      <c r="D19" s="3" t="inlineStr">
        <is>
          <t>Fresh home page load</t>
        </is>
      </c>
      <c r="E19" s="3" t="inlineStr">
        <is>
          <t>1. Clear cache 2. Measure TTFB from network tab</t>
        </is>
      </c>
      <c r="F19" s="3" t="inlineStr">
        <is>
          <t>TTFB &lt;500ms (v16: 379ms baseline)</t>
        </is>
      </c>
      <c r="G19" s="3" t="inlineStr">
        <is>
          <t>P0</t>
        </is>
      </c>
      <c r="H19" s="3" t="inlineStr">
        <is>
          <t>V17-001</t>
        </is>
      </c>
    </row>
    <row r="20">
      <c r="A20" s="2" t="inlineStr">
        <is>
          <t>TC-PERF-002</t>
        </is>
      </c>
      <c r="B20" s="2" t="inlineStr">
        <is>
          <t>Performance</t>
        </is>
      </c>
      <c r="C20" s="2" t="inlineStr">
        <is>
          <t>Deep Link TTFB &lt;400ms</t>
        </is>
      </c>
      <c r="D20" s="2" t="inlineStr">
        <is>
          <t>Fresh deep link load /listings/:id</t>
        </is>
      </c>
      <c r="E20" s="2" t="inlineStr">
        <is>
          <t>1. Clear cache 2. Measure TTFB</t>
        </is>
      </c>
      <c r="F20" s="2" t="inlineStr">
        <is>
          <t>TTFB &lt;400ms (v17: 352ms acceptable)</t>
        </is>
      </c>
      <c r="G20" s="2" t="inlineStr">
        <is>
          <t>P1</t>
        </is>
      </c>
      <c r="H20" s="2" t="inlineStr">
        <is>
          <t>V17-001</t>
        </is>
      </c>
    </row>
    <row r="21">
      <c r="A21" s="3" t="inlineStr">
        <is>
          <t>TC-PERF-003</t>
        </is>
      </c>
      <c r="B21" s="3" t="inlineStr">
        <is>
          <t>Performance</t>
        </is>
      </c>
      <c r="C21" s="3" t="inlineStr">
        <is>
          <t>/api/home Response &lt;400ms</t>
        </is>
      </c>
      <c r="D21" s="3" t="inlineStr">
        <is>
          <t>Network tab open</t>
        </is>
      </c>
      <c r="E21" s="3" t="inlineStr">
        <is>
          <t>1. Load home 2. Find /api/home call 3. Check duration</t>
        </is>
      </c>
      <c r="F21" s="3" t="inlineStr">
        <is>
          <t>Response &lt;400ms (v16: 320ms baseline)</t>
        </is>
      </c>
      <c r="G21" s="3" t="inlineStr">
        <is>
          <t>P1</t>
        </is>
      </c>
      <c r="H21" s="3" t="inlineStr">
        <is>
          <t>V17-001</t>
        </is>
      </c>
    </row>
    <row r="22">
      <c r="A22" s="2" t="inlineStr">
        <is>
          <t>TC-PERF-004</t>
        </is>
      </c>
      <c r="B22" s="2" t="inlineStr">
        <is>
          <t>Performance</t>
        </is>
      </c>
      <c r="C22" s="2" t="inlineStr">
        <is>
          <t>/api/views Response &lt;1000ms</t>
        </is>
      </c>
      <c r="D22" s="2" t="inlineStr">
        <is>
          <t>Deep link loaded, network tab open</t>
        </is>
      </c>
      <c r="E22" s="2" t="inlineStr">
        <is>
          <t>1. Check /api/views/{id} call time</t>
        </is>
      </c>
      <c r="F22" s="2" t="inlineStr">
        <is>
          <t>Response &lt;1000ms (v16: 968ms; v17: 2205ms regressed)</t>
        </is>
      </c>
      <c r="G22" s="2" t="inlineStr">
        <is>
          <t>P1</t>
        </is>
      </c>
      <c r="H22" s="2" t="inlineStr">
        <is>
          <t>V17-003</t>
        </is>
      </c>
    </row>
    <row r="23">
      <c r="A23" s="3" t="inlineStr">
        <is>
          <t>TC-PERF-005</t>
        </is>
      </c>
      <c r="B23" s="3" t="inlineStr">
        <is>
          <t>Performance</t>
        </is>
      </c>
      <c r="C23" s="3" t="inlineStr">
        <is>
          <t>First Contentful Paint &lt;2000ms</t>
        </is>
      </c>
      <c r="D23" s="3" t="inlineStr">
        <is>
          <t>Home page, fresh load</t>
        </is>
      </c>
      <c r="E23" s="3" t="inlineStr">
        <is>
          <t>1. DevTools Performance &gt; Measure 2. Check FCP</t>
        </is>
      </c>
      <c r="F23" s="3" t="inlineStr">
        <is>
          <t>FCP &lt;2000ms (v17: 5224ms — REGRESSED)</t>
        </is>
      </c>
      <c r="G23" s="3" t="inlineStr">
        <is>
          <t>P0</t>
        </is>
      </c>
      <c r="H23" s="3" t="inlineStr">
        <is>
          <t>V17-001</t>
        </is>
      </c>
    </row>
    <row r="24">
      <c r="A24" s="2" t="inlineStr">
        <is>
          <t>TC-PERF-006</t>
        </is>
      </c>
      <c r="B24" s="2" t="inlineStr">
        <is>
          <t>Performance</t>
        </is>
      </c>
      <c r="C24" s="2" t="inlineStr">
        <is>
          <t>Resource Count &lt;20 for Home</t>
        </is>
      </c>
      <c r="D24" s="2" t="inlineStr">
        <is>
          <t>Home page loaded</t>
        </is>
      </c>
      <c r="E24" s="2" t="inlineStr">
        <is>
          <t>1. Network tab 2. Count all resource requests</t>
        </is>
      </c>
      <c r="F24" s="2" t="inlineStr">
        <is>
          <t>&lt;20 total resources (v17: 29 — REGRESSED)</t>
        </is>
      </c>
      <c r="G24" s="2" t="inlineStr">
        <is>
          <t>P1</t>
        </is>
      </c>
      <c r="H24" s="2" t="inlineStr">
        <is>
          <t>V17-001</t>
        </is>
      </c>
    </row>
    <row r="25">
      <c r="A25" s="3" t="inlineStr">
        <is>
          <t>TC-UX-001</t>
        </is>
      </c>
      <c r="B25" s="3" t="inlineStr">
        <is>
          <t>UX</t>
        </is>
      </c>
      <c r="C25" s="3" t="inlineStr">
        <is>
          <t>Home Content Correctness</t>
        </is>
      </c>
      <c r="D25" s="3" t="inlineStr">
        <is>
          <t>Home page displayed</t>
        </is>
      </c>
      <c r="E25" s="3" t="inlineStr">
        <is>
          <t>1. Check banner text 2. Check CTA 3. Check category list</t>
        </is>
      </c>
      <c r="F25" s="3" t="inlineStr">
        <is>
          <t>All content matches design; no hardcoded placeholders</t>
        </is>
      </c>
      <c r="G25" s="3" t="inlineStr">
        <is>
          <t>P1</t>
        </is>
      </c>
      <c r="H25" s="3" t="inlineStr">
        <is>
          <t>V16-002</t>
        </is>
      </c>
    </row>
    <row r="26">
      <c r="A26" s="2" t="inlineStr">
        <is>
          <t>TC-UX-002</t>
        </is>
      </c>
      <c r="B26" s="2" t="inlineStr">
        <is>
          <t>UX</t>
        </is>
      </c>
      <c r="C26" s="2" t="inlineStr">
        <is>
          <t>Activity Log Timestamps Format</t>
        </is>
      </c>
      <c r="D26" s="2" t="inlineStr">
        <is>
          <t>Activity log page with transactions</t>
        </is>
      </c>
      <c r="E26" s="2" t="inlineStr">
        <is>
          <t>1. View recent activity 2. Check timestamp format</t>
        </is>
      </c>
      <c r="F26" s="2" t="inlineStr">
        <is>
          <t>Format '3 Apr 2026, 22:45' (en-GB); correct timezone</t>
        </is>
      </c>
      <c r="G26" s="2" t="inlineStr">
        <is>
          <t>P1</t>
        </is>
      </c>
      <c r="H26" s="2" t="inlineStr">
        <is>
          <t>V15-003</t>
        </is>
      </c>
    </row>
    <row r="27">
      <c r="A27" s="3" t="inlineStr">
        <is>
          <t>TC-UX-003</t>
        </is>
      </c>
      <c r="B27" s="3" t="inlineStr">
        <is>
          <t>UX</t>
        </is>
      </c>
      <c r="C27" s="3" t="inlineStr">
        <is>
          <t>Empty State Messages</t>
        </is>
      </c>
      <c r="D27" s="3" t="inlineStr">
        <is>
          <t>View empty collection or empty admin page</t>
        </is>
      </c>
      <c r="E27" s="3" t="inlineStr">
        <is>
          <t>1. Load page with no data 2. Check message</t>
        </is>
      </c>
      <c r="F27" s="3" t="inlineStr">
        <is>
          <t>Message clear and actionable; no generic 'no data'</t>
        </is>
      </c>
      <c r="G27" s="3" t="inlineStr">
        <is>
          <t>P2</t>
        </is>
      </c>
      <c r="H27" s="3" t="inlineStr">
        <is>
          <t>V16-002</t>
        </is>
      </c>
    </row>
    <row r="28">
      <c r="A28" s="2" t="inlineStr">
        <is>
          <t>TC-UX-004</t>
        </is>
      </c>
      <c r="B28" s="2" t="inlineStr">
        <is>
          <t>UX</t>
        </is>
      </c>
      <c r="C28" s="2" t="inlineStr">
        <is>
          <t>Card Title Tooltip on Truncation</t>
        </is>
      </c>
      <c r="D28" s="2" t="inlineStr">
        <is>
          <t>Long card title visible</t>
        </is>
      </c>
      <c r="E28" s="2" t="inlineStr">
        <is>
          <t>1. Hover over truncated title 2. Check tooltip</t>
        </is>
      </c>
      <c r="F28" s="2" t="inlineStr">
        <is>
          <t>Tooltip shows full title; tooltip appears in &lt;500ms</t>
        </is>
      </c>
      <c r="G28" s="2" t="inlineStr">
        <is>
          <t>P2</t>
        </is>
      </c>
      <c r="H28" s="2" t="inlineStr">
        <is>
          <t>V15-004</t>
        </is>
      </c>
    </row>
    <row r="29">
      <c r="A29" s="3" t="inlineStr">
        <is>
          <t>TC-UX-005</t>
        </is>
      </c>
      <c r="B29" s="3" t="inlineStr">
        <is>
          <t>UX</t>
        </is>
      </c>
      <c r="C29" s="3" t="inlineStr">
        <is>
          <t>Bottom Navigation Active State</t>
        </is>
      </c>
      <c r="D29" s="3" t="inlineStr">
        <is>
          <t>Nav visible on mobile view</t>
        </is>
      </c>
      <c r="E29" s="3" t="inlineStr">
        <is>
          <t>1. Resize to mobile 2. Tap each nav item</t>
        </is>
      </c>
      <c r="F29" s="3" t="inlineStr">
        <is>
          <t>Active indicator shows; transitions smooth</t>
        </is>
      </c>
      <c r="G29" s="3" t="inlineStr">
        <is>
          <t>P3</t>
        </is>
      </c>
      <c r="H29" s="3" t="inlineStr">
        <is>
          <t>V15-006</t>
        </is>
      </c>
    </row>
    <row r="30">
      <c r="A30" s="2" t="inlineStr">
        <is>
          <t>TC-REGR-001</t>
        </is>
      </c>
      <c r="B30" s="2" t="inlineStr">
        <is>
          <t>Regression</t>
        </is>
      </c>
      <c r="C30" s="2" t="inlineStr">
        <is>
          <t>Card Images on Explore Page</t>
        </is>
      </c>
      <c r="D30" s="2" t="inlineStr">
        <is>
          <t>Explore page with graded cards</t>
        </is>
      </c>
      <c r="E30" s="2" t="inlineStr">
        <is>
          <t>1. Load Explore 2. Inspect each card image</t>
        </is>
      </c>
      <c r="F30" s="2" t="inlineStr">
        <is>
          <t>All images load; no blue placeholders (v16 passed)</t>
        </is>
      </c>
      <c r="G30" s="2" t="inlineStr">
        <is>
          <t>P0</t>
        </is>
      </c>
      <c r="H30" s="2" t="inlineStr">
        <is>
          <t>V17-002</t>
        </is>
      </c>
    </row>
    <row r="31">
      <c r="A31" s="3" t="inlineStr">
        <is>
          <t>TC-REGR-002</t>
        </is>
      </c>
      <c r="B31" s="3" t="inlineStr">
        <is>
          <t>Regression</t>
        </is>
      </c>
      <c r="C31" s="3" t="inlineStr">
        <is>
          <t>Maintained Fixes Still Working</t>
        </is>
      </c>
      <c r="D31" s="3" t="inlineStr">
        <is>
          <t>All areas with previous fixes</t>
        </is>
      </c>
      <c r="E31" s="3" t="inlineStr">
        <is>
          <t>1. Check V15-001 to V15-004 2. Verify still fixed</t>
        </is>
      </c>
      <c r="F31" s="3" t="inlineStr">
        <is>
          <t>All 4 maintained fixes still functional</t>
        </is>
      </c>
      <c r="G31" s="3" t="inlineStr">
        <is>
          <t>P1</t>
        </is>
      </c>
      <c r="H31" s="3" t="inlineStr">
        <is>
          <t>V15-001,V15-002,V15-003,V15-004</t>
        </is>
      </c>
    </row>
    <row r="32">
      <c r="A32" s="2" t="inlineStr">
        <is>
          <t>TC-REGR-003</t>
        </is>
      </c>
      <c r="B32" s="2" t="inlineStr">
        <is>
          <t>Regression</t>
        </is>
      </c>
      <c r="C32" s="2" t="inlineStr">
        <is>
          <t>Build Version Display</t>
        </is>
      </c>
      <c r="D32" s="2" t="inlineStr">
        <is>
          <t>Admin page footer</t>
        </is>
      </c>
      <c r="E32" s="2" t="inlineStr">
        <is>
          <t>1. Check build version 2. Verify displays v0.85.0</t>
        </is>
      </c>
      <c r="F32" s="2" t="inlineStr">
        <is>
          <t>Shows CVOS v0.85.0 (maintained from v16)</t>
        </is>
      </c>
      <c r="G32" s="2" t="inlineStr">
        <is>
          <t>P2</t>
        </is>
      </c>
      <c r="H32" s="2" t="inlineStr">
        <is>
          <t>V15-002</t>
        </is>
      </c>
    </row>
    <row r="33">
      <c r="A33" s="3" t="inlineStr">
        <is>
          <t>TC-REGR-004</t>
        </is>
      </c>
      <c r="B33" s="3" t="inlineStr">
        <is>
          <t>Regression</t>
        </is>
      </c>
      <c r="C33" s="3" t="inlineStr">
        <is>
          <t>Currency Format Consistency</t>
        </is>
      </c>
      <c r="D33" s="3" t="inlineStr">
        <is>
          <t>Any price on page (home, card, admin)</t>
        </is>
      </c>
      <c r="E33" s="3" t="inlineStr">
        <is>
          <t>1. Check format 2. Should use Rp with periods</t>
        </is>
      </c>
      <c r="F33" s="3" t="inlineStr">
        <is>
          <t>Format: 'Rp 123.456.789' (maintained from v16)</t>
        </is>
      </c>
      <c r="G33" s="3" t="inlineStr">
        <is>
          <t>P2</t>
        </is>
      </c>
      <c r="H33" s="3" t="inlineStr">
        <is>
          <t>V15-002</t>
        </is>
      </c>
    </row>
    <row r="34">
      <c r="A34" s="2" t="inlineStr">
        <is>
          <t>TC-REGR-005</t>
        </is>
      </c>
      <c r="B34" s="2" t="inlineStr">
        <is>
          <t>Regression</t>
        </is>
      </c>
      <c r="C34" s="2" t="inlineStr">
        <is>
          <t>Deep Links Still Functional</t>
        </is>
      </c>
      <c r="D34" s="2" t="inlineStr">
        <is>
          <t>Bookmark to card detail</t>
        </is>
      </c>
      <c r="E34" s="2" t="inlineStr">
        <is>
          <t>1. Use deep link /listings/:id 2. Load from history</t>
        </is>
      </c>
      <c r="F34" s="2" t="inlineStr">
        <is>
          <t>Card loads with images and data (maintained from v16)</t>
        </is>
      </c>
      <c r="G34" s="2" t="inlineStr">
        <is>
          <t>P1</t>
        </is>
      </c>
      <c r="H34" s="2" t="inlineStr">
        <is>
          <t>V15-001</t>
        </is>
      </c>
    </row>
    <row r="35">
      <c r="A35" s="3" t="inlineStr">
        <is>
          <t>TC-API-001</t>
        </is>
      </c>
      <c r="B35" s="3" t="inlineStr">
        <is>
          <t>API</t>
        </is>
      </c>
      <c r="C35" s="3" t="inlineStr">
        <is>
          <t>API Response Time Consistency</t>
        </is>
      </c>
      <c r="D35" s="3" t="inlineStr">
        <is>
          <t>Network tab monitoring all calls</t>
        </is>
      </c>
      <c r="E35" s="3" t="inlineStr">
        <is>
          <t>1. Load home 2. Monitor /api/* calls 3. Note times</t>
        </is>
      </c>
      <c r="F35" s="3" t="inlineStr">
        <is>
          <t>Most calls &lt;500ms; outliers logged (v17: /api/views at 2205ms)</t>
        </is>
      </c>
      <c r="G35" s="3" t="inlineStr">
        <is>
          <t>P1</t>
        </is>
      </c>
      <c r="H35" s="3" t="inlineStr">
        <is>
          <t>V17-003</t>
        </is>
      </c>
    </row>
    <row r="36">
      <c r="A36" s="2" t="inlineStr">
        <is>
          <t>TC-API-002</t>
        </is>
      </c>
      <c r="B36" s="2" t="inlineStr">
        <is>
          <t>API</t>
        </is>
      </c>
      <c r="C36" s="2" t="inlineStr">
        <is>
          <t>Error Handling with Invalid Input</t>
        </is>
      </c>
      <c r="D36" s="2" t="inlineStr">
        <is>
          <t>/api/listings/{invalid_id} called</t>
        </is>
      </c>
      <c r="E36" s="2" t="inlineStr">
        <is>
          <t>1. Fetch with non-existent ID 2. Check response</t>
        </is>
      </c>
      <c r="F36" s="2" t="inlineStr">
        <is>
          <t>Returns 404 with proper error message; no 500</t>
        </is>
      </c>
      <c r="G36" s="2" t="inlineStr">
        <is>
          <t>P2</t>
        </is>
      </c>
      <c r="H36" s="2" t="inlineStr">
        <is>
          <t>V13-002</t>
        </is>
      </c>
    </row>
    <row r="37">
      <c r="A37" s="3" t="inlineStr">
        <is>
          <t>TC-API-003</t>
        </is>
      </c>
      <c r="B37" s="3" t="inlineStr">
        <is>
          <t>API</t>
        </is>
      </c>
      <c r="C37" s="3" t="inlineStr">
        <is>
          <t>Auth Endpoints Require Session</t>
        </is>
      </c>
      <c r="D37" s="3" t="inlineStr">
        <is>
          <t>/api/auth/* without credentials</t>
        </is>
      </c>
      <c r="E37" s="3" t="inlineStr">
        <is>
          <t>1. Clear cookies 2. Attempt auth call</t>
        </is>
      </c>
      <c r="F37" s="3" t="inlineStr">
        <is>
          <t>Returns 401; redirects to login; no sensitive data exposed</t>
        </is>
      </c>
      <c r="G37" s="3" t="inlineStr">
        <is>
          <t>P0</t>
        </is>
      </c>
      <c r="H37" s="3" t="inlineStr">
        <is>
          <t>V13-002</t>
        </is>
      </c>
    </row>
    <row r="38">
      <c r="A38" s="2" t="inlineStr">
        <is>
          <t>TC-API-004</t>
        </is>
      </c>
      <c r="B38" s="2" t="inlineStr">
        <is>
          <t>API</t>
        </is>
      </c>
      <c r="C38" s="2" t="inlineStr">
        <is>
          <t>CORS Headers Present</t>
        </is>
      </c>
      <c r="D38" s="2" t="inlineStr">
        <is>
          <t>Any cross-origin request to /api</t>
        </is>
      </c>
      <c r="E38" s="2" t="inlineStr">
        <is>
          <t>1. Make CORS preflight from beta.cardvault.id 2. Check headers</t>
        </is>
      </c>
      <c r="F38" s="2" t="inlineStr">
        <is>
          <t>CORS headers present; origin validated (admin issue)</t>
        </is>
      </c>
      <c r="G38" s="2" t="inlineStr">
        <is>
          <t>P1</t>
        </is>
      </c>
      <c r="H38" s="2" t="inlineStr">
        <is>
          <t>V14-005</t>
        </is>
      </c>
    </row>
    <row r="39">
      <c r="A39" s="3" t="inlineStr">
        <is>
          <t>TC-API-005</t>
        </is>
      </c>
      <c r="B39" s="3" t="inlineStr">
        <is>
          <t>API</t>
        </is>
      </c>
      <c r="C39" s="3" t="inlineStr">
        <is>
          <t>Cache Headers Correct</t>
        </is>
      </c>
      <c r="D39" s="3" t="inlineStr">
        <is>
          <t>Any /api response</t>
        </is>
      </c>
      <c r="E39" s="3" t="inlineStr">
        <is>
          <t>1. Inspect Response Headers 2. Check Cache-Control</t>
        </is>
      </c>
      <c r="F39" s="3" t="inlineStr">
        <is>
          <t>Private, no-cache, no-store set (prevents caching sensitive data)</t>
        </is>
      </c>
      <c r="G39" s="3" t="inlineStr">
        <is>
          <t>P2</t>
        </is>
      </c>
      <c r="H39" s="3" t="inlineStr">
        <is>
          <t>V13-002</t>
        </is>
      </c>
    </row>
  </sheetData>
  <autoFilter ref="A1:H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Metric</t>
        </is>
      </c>
      <c r="B1" s="1" t="inlineStr">
        <is>
          <t>v16 Value</t>
        </is>
      </c>
      <c r="C1" s="1" t="inlineStr">
        <is>
          <t>v17 Value</t>
        </is>
      </c>
      <c r="D1" s="1" t="inlineStr">
        <is>
          <t>Change</t>
        </is>
      </c>
      <c r="E1" s="1" t="inlineStr">
        <is>
          <t>Target</t>
        </is>
      </c>
      <c r="F1" s="1" t="inlineStr">
        <is>
          <t>Status</t>
        </is>
      </c>
    </row>
    <row r="2">
      <c r="A2" s="2" t="inlineStr">
        <is>
          <t>Home TTFB (ms)</t>
        </is>
      </c>
      <c r="B2" s="8" t="n">
        <v>379</v>
      </c>
      <c r="C2" s="8" t="n">
        <v>740</v>
      </c>
      <c r="D2" s="8">
        <f>C2-B2</f>
        <v/>
      </c>
      <c r="E2" s="8" t="n">
        <v>500</v>
      </c>
      <c r="F2" s="2">
        <f>IF(C2&lt;E2,"PASS","FAIL")</f>
        <v/>
      </c>
    </row>
    <row r="3">
      <c r="A3" s="3" t="inlineStr">
        <is>
          <t>Home DOM Complete (ms)</t>
        </is>
      </c>
      <c r="B3" s="9" t="n">
        <v>748</v>
      </c>
      <c r="C3" s="9" t="n">
        <v>1391</v>
      </c>
      <c r="D3" s="9">
        <f>C3-B3</f>
        <v/>
      </c>
      <c r="E3" s="9" t="n">
        <v>1000</v>
      </c>
      <c r="F3" s="3">
        <f>IF(C3&lt;E3,"PASS","FAIL")</f>
        <v/>
      </c>
    </row>
    <row r="4">
      <c r="A4" s="2" t="inlineStr">
        <is>
          <t>Home FCP (ms)</t>
        </is>
      </c>
      <c r="B4" s="8" t="inlineStr"/>
      <c r="C4" s="8" t="n">
        <v>5224</v>
      </c>
      <c r="D4" s="8">
        <f>C4</f>
        <v/>
      </c>
      <c r="E4" s="8" t="n">
        <v>2000</v>
      </c>
      <c r="F4" s="2">
        <f>IF(C4&lt;E4,"PASS","FAIL")</f>
        <v/>
      </c>
    </row>
    <row r="5">
      <c r="A5" s="3" t="inlineStr">
        <is>
          <t>/api/home (ms)</t>
        </is>
      </c>
      <c r="B5" s="9" t="n">
        <v>320</v>
      </c>
      <c r="C5" s="9" t="n">
        <v>615</v>
      </c>
      <c r="D5" s="9">
        <f>C5-B5</f>
        <v/>
      </c>
      <c r="E5" s="9" t="n">
        <v>400</v>
      </c>
      <c r="F5" s="3">
        <f>IF(C5&lt;E5,"PASS","FAIL")</f>
        <v/>
      </c>
    </row>
    <row r="6">
      <c r="A6" s="2" t="inlineStr">
        <is>
          <t>Deep Link TTFB (ms)</t>
        </is>
      </c>
      <c r="B6" s="8" t="n">
        <v>713</v>
      </c>
      <c r="C6" s="8" t="n">
        <v>352</v>
      </c>
      <c r="D6" s="8">
        <f>C6-B6</f>
        <v/>
      </c>
      <c r="E6" s="8" t="n">
        <v>400</v>
      </c>
      <c r="F6" s="2">
        <f>IF(C6&lt;E6,"PASS","FAIL")</f>
        <v/>
      </c>
    </row>
    <row r="7">
      <c r="A7" s="3" t="inlineStr">
        <is>
          <t>Deep Link DOM Complete (ms)</t>
        </is>
      </c>
      <c r="B7" s="9" t="n">
        <v>1057</v>
      </c>
      <c r="C7" s="9" t="n">
        <v>536</v>
      </c>
      <c r="D7" s="9">
        <f>C7-B7</f>
        <v/>
      </c>
      <c r="E7" s="9" t="n">
        <v>700</v>
      </c>
      <c r="F7" s="3">
        <f>IF(C7&lt;E7,"PASS","FAIL")</f>
        <v/>
      </c>
    </row>
    <row r="8">
      <c r="A8" s="2" t="inlineStr">
        <is>
          <t>/api/listings (ms)</t>
        </is>
      </c>
      <c r="B8" s="8" t="n">
        <v>390</v>
      </c>
      <c r="C8" s="8" t="n">
        <v>322</v>
      </c>
      <c r="D8" s="8">
        <f>C8-B8</f>
        <v/>
      </c>
      <c r="E8" s="8" t="n">
        <v>500</v>
      </c>
      <c r="F8" s="2">
        <f>IF(C8&lt;E8,"PASS","FAIL")</f>
        <v/>
      </c>
    </row>
    <row r="9">
      <c r="A9" s="3" t="inlineStr">
        <is>
          <t>/api/views (ms)</t>
        </is>
      </c>
      <c r="B9" s="9" t="n">
        <v>968</v>
      </c>
      <c r="C9" s="9" t="n">
        <v>2205</v>
      </c>
      <c r="D9" s="9">
        <f>C9-B9</f>
        <v/>
      </c>
      <c r="E9" s="9" t="n">
        <v>1000</v>
      </c>
      <c r="F9" s="3">
        <f>IF(C9&lt;E9,"PASS","FAIL")</f>
        <v/>
      </c>
    </row>
    <row r="10">
      <c r="A10" s="2" t="inlineStr">
        <is>
          <t>Home Resources Count</t>
        </is>
      </c>
      <c r="B10" s="8" t="n">
        <v>18</v>
      </c>
      <c r="C10" s="8" t="n">
        <v>29</v>
      </c>
      <c r="D10" s="8">
        <f>C10-B10</f>
        <v/>
      </c>
      <c r="E10" s="8" t="n">
        <v>20</v>
      </c>
      <c r="F10" s="2">
        <f>IF(C10&lt;E10,"PASS","FAIL")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12" customWidth="1" min="5" max="5"/>
    <col width="12" customWidth="1" min="6" max="6"/>
  </cols>
  <sheetData>
    <row r="1">
      <c r="A1" s="1" t="inlineStr">
        <is>
          <t>Header</t>
        </is>
      </c>
      <c r="B1" s="1" t="inlineStr">
        <is>
          <t>Expected</t>
        </is>
      </c>
      <c r="C1" s="1" t="inlineStr">
        <is>
          <t>Beta (actual)</t>
        </is>
      </c>
      <c r="D1" s="1" t="inlineStr">
        <is>
          <t>Admin (actual)</t>
        </is>
      </c>
      <c r="E1" s="1" t="inlineStr">
        <is>
          <t>Beta Status</t>
        </is>
      </c>
      <c r="F1" s="1" t="inlineStr">
        <is>
          <t>Admin Status</t>
        </is>
      </c>
    </row>
    <row r="2">
      <c r="A2" s="2" t="inlineStr">
        <is>
          <t>HSTS</t>
        </is>
      </c>
      <c r="B2" s="2" t="inlineStr">
        <is>
          <t>max-age=31536000; includeSubDomains; preload</t>
        </is>
      </c>
      <c r="C2" s="2" t="inlineStr">
        <is>
          <t>max-age=31536000; includeSubDomains; preload</t>
        </is>
      </c>
      <c r="D2" s="2" t="inlineStr">
        <is>
          <t>max-age=31536000; includeSubDomains; preload</t>
        </is>
      </c>
      <c r="E2" s="2" t="inlineStr">
        <is>
          <t>PASS</t>
        </is>
      </c>
      <c r="F2" s="2" t="inlineStr">
        <is>
          <t>PASS</t>
        </is>
      </c>
    </row>
    <row r="3">
      <c r="A3" s="3" t="inlineStr">
        <is>
          <t>CSP script-src</t>
        </is>
      </c>
      <c r="B3" s="3" t="inlineStr">
        <is>
          <t>'self' 'nonce-...' 'strict-dynamic'</t>
        </is>
      </c>
      <c r="C3" s="3" t="inlineStr">
        <is>
          <t>'self' 'nonce-...' 'strict-dynamic'</t>
        </is>
      </c>
      <c r="D3" s="3" t="inlineStr">
        <is>
          <t>'self' 'nonce-...' 'strict-dynamic'</t>
        </is>
      </c>
      <c r="E3" s="3" t="inlineStr">
        <is>
          <t>PASS</t>
        </is>
      </c>
      <c r="F3" s="3" t="inlineStr">
        <is>
          <t>PASS</t>
        </is>
      </c>
    </row>
    <row r="4">
      <c r="A4" s="2" t="inlineStr">
        <is>
          <t>CSP style-src</t>
        </is>
      </c>
      <c r="B4" s="2" t="inlineStr">
        <is>
          <t>'self' 'nonce-...' (no unsafe-inline)</t>
        </is>
      </c>
      <c r="C4" s="2" t="inlineStr">
        <is>
          <t>'self' 'nonce-...' 'unsafe-inline'</t>
        </is>
      </c>
      <c r="D4" s="2" t="inlineStr">
        <is>
          <t>'self' 'nonce-...' 'unsafe-inline'</t>
        </is>
      </c>
      <c r="E4" s="2" t="inlineStr">
        <is>
          <t>WARN</t>
        </is>
      </c>
      <c r="F4" s="2" t="inlineStr">
        <is>
          <t>WARN</t>
        </is>
      </c>
    </row>
    <row r="5">
      <c r="A5" s="3" t="inlineStr">
        <is>
          <t>CSP img-src</t>
        </is>
      </c>
      <c r="B5" s="3" t="inlineStr">
        <is>
          <t>'self' data: https:</t>
        </is>
      </c>
      <c r="C5" s="3" t="inlineStr">
        <is>
          <t>'self' data: https:</t>
        </is>
      </c>
      <c r="D5" s="3" t="inlineStr">
        <is>
          <t>'self' data: https:</t>
        </is>
      </c>
      <c r="E5" s="3" t="inlineStr">
        <is>
          <t>PASS</t>
        </is>
      </c>
      <c r="F5" s="3" t="inlineStr">
        <is>
          <t>PASS</t>
        </is>
      </c>
    </row>
    <row r="6">
      <c r="A6" s="2" t="inlineStr">
        <is>
          <t>CORS</t>
        </is>
      </c>
      <c r="B6" s="2" t="inlineStr">
        <is>
          <t>admin domain only</t>
        </is>
      </c>
      <c r="C6" s="2" t="inlineStr">
        <is>
          <t>https://beta.cardvault.id</t>
        </is>
      </c>
      <c r="D6" s="2" t="inlineStr">
        <is>
          <t>https://beta.cardvault.id</t>
        </is>
      </c>
      <c r="E6" s="2" t="inlineStr">
        <is>
          <t>FAIL</t>
        </is>
      </c>
      <c r="F6" s="2" t="inlineStr">
        <is>
          <t>FAIL</t>
        </is>
      </c>
    </row>
    <row r="7">
      <c r="A7" s="3" t="inlineStr">
        <is>
          <t>X-Frame-Options</t>
        </is>
      </c>
      <c r="B7" s="3" t="inlineStr">
        <is>
          <t>DENY</t>
        </is>
      </c>
      <c r="C7" s="3" t="inlineStr">
        <is>
          <t>DENY</t>
        </is>
      </c>
      <c r="D7" s="3" t="inlineStr">
        <is>
          <t>DENY</t>
        </is>
      </c>
      <c r="E7" s="3" t="inlineStr">
        <is>
          <t>PASS</t>
        </is>
      </c>
      <c r="F7" s="3" t="inlineStr">
        <is>
          <t>PASS</t>
        </is>
      </c>
    </row>
    <row r="8">
      <c r="A8" s="2" t="inlineStr">
        <is>
          <t>X-Content-Type-Options</t>
        </is>
      </c>
      <c r="B8" s="2" t="inlineStr">
        <is>
          <t>nosniff</t>
        </is>
      </c>
      <c r="C8" s="2" t="inlineStr">
        <is>
          <t>nosniff</t>
        </is>
      </c>
      <c r="D8" s="2" t="inlineStr">
        <is>
          <t>nosniff</t>
        </is>
      </c>
      <c r="E8" s="2" t="inlineStr">
        <is>
          <t>PASS</t>
        </is>
      </c>
      <c r="F8" s="2" t="inlineStr">
        <is>
          <t>PASS</t>
        </is>
      </c>
    </row>
    <row r="9">
      <c r="A9" s="3" t="inlineStr">
        <is>
          <t>X-XSS-Protection</t>
        </is>
      </c>
      <c r="B9" s="3" t="inlineStr">
        <is>
          <t>1; mode=block</t>
        </is>
      </c>
      <c r="C9" s="3" t="inlineStr">
        <is>
          <t>1; mode=block</t>
        </is>
      </c>
      <c r="D9" s="3" t="inlineStr">
        <is>
          <t>1; mode=block</t>
        </is>
      </c>
      <c r="E9" s="3" t="inlineStr">
        <is>
          <t>PASS</t>
        </is>
      </c>
      <c r="F9" s="3" t="inlineStr">
        <is>
          <t>PASS</t>
        </is>
      </c>
    </row>
    <row r="10">
      <c r="A10" s="2" t="inlineStr">
        <is>
          <t>Permissions-Policy</t>
        </is>
      </c>
      <c r="B10" s="2" t="inlineStr">
        <is>
          <t>camera=(), microphone=(), geolocation=(), payment=(self)</t>
        </is>
      </c>
      <c r="C10" s="2" t="inlineStr">
        <is>
          <t>camera=(), microphone=(), geolocation=(), payment=(self)</t>
        </is>
      </c>
      <c r="D10" s="2" t="inlineStr">
        <is>
          <t>camera=(), microphone=(), geolocation=(), payment=(self)</t>
        </is>
      </c>
      <c r="E10" s="2" t="inlineStr">
        <is>
          <t>PASS</t>
        </is>
      </c>
      <c r="F10" s="2" t="inlineStr">
        <is>
          <t>PASS</t>
        </is>
      </c>
    </row>
    <row r="11">
      <c r="A11" s="3" t="inlineStr">
        <is>
          <t>Referrer-Policy</t>
        </is>
      </c>
      <c r="B11" s="3" t="inlineStr">
        <is>
          <t>strict-origin-when-cross-origin</t>
        </is>
      </c>
      <c r="C11" s="3" t="inlineStr">
        <is>
          <t>strict-origin-when-cross-origin</t>
        </is>
      </c>
      <c r="D11" s="3" t="inlineStr">
        <is>
          <t>strict-origin-when-cross-origin</t>
        </is>
      </c>
      <c r="E11" s="3" t="inlineStr">
        <is>
          <t>PASS</t>
        </is>
      </c>
      <c r="F11" s="3" t="inlineStr">
        <is>
          <t>PASS</t>
        </is>
      </c>
    </row>
    <row r="12">
      <c r="A12" s="2" t="inlineStr">
        <is>
          <t>X-Powered-By</t>
        </is>
      </c>
      <c r="B12" s="2" t="inlineStr">
        <is>
          <t>REMOVED</t>
        </is>
      </c>
      <c r="C12" s="2" t="inlineStr">
        <is>
          <t>REMOVED</t>
        </is>
      </c>
      <c r="D12" s="2" t="inlineStr">
        <is>
          <t>REMOVED</t>
        </is>
      </c>
      <c r="E12" s="2" t="inlineStr">
        <is>
          <t>PASS</t>
        </is>
      </c>
      <c r="F12" s="2" t="inlineStr">
        <is>
          <t>PASS</t>
        </is>
      </c>
    </row>
    <row r="13">
      <c r="A13" s="3" t="inlineStr">
        <is>
          <t>server header</t>
        </is>
      </c>
      <c r="B13" s="3" t="inlineStr">
        <is>
          <t>Hidden or minimized</t>
        </is>
      </c>
      <c r="C13" s="3" t="inlineStr">
        <is>
          <t>Vercel (exposed)</t>
        </is>
      </c>
      <c r="D13" s="3" t="inlineStr">
        <is>
          <t>Vercel (exposed)</t>
        </is>
      </c>
      <c r="E13" s="3" t="inlineStr">
        <is>
          <t>WARN</t>
        </is>
      </c>
      <c r="F13" s="3" t="inlineStr">
        <is>
          <t>WARN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0" t="inlineStr">
        <is>
          <t>CardVault v17 Audit Summary Dashboard</t>
        </is>
      </c>
    </row>
    <row r="2"/>
    <row r="3">
      <c r="A3" s="11" t="inlineStr">
        <is>
          <t>Overall Score</t>
        </is>
      </c>
      <c r="D3" s="12">
        <f>7.2</f>
        <v/>
      </c>
    </row>
    <row r="4">
      <c r="A4" s="13" t="inlineStr">
        <is>
          <t>Previous Score (v16)</t>
        </is>
      </c>
      <c r="D4" s="14">
        <f>7.8</f>
        <v/>
      </c>
    </row>
    <row r="5">
      <c r="A5" s="15" t="inlineStr">
        <is>
          <t>Change</t>
        </is>
      </c>
      <c r="D5" s="16">
        <f>D3-D4</f>
        <v/>
      </c>
    </row>
    <row r="6"/>
    <row r="7">
      <c r="A7" s="17" t="inlineStr">
        <is>
          <t>Score Breakdown</t>
        </is>
      </c>
    </row>
    <row r="8"/>
    <row r="9">
      <c r="A9" s="18" t="inlineStr">
        <is>
          <t>Performance</t>
        </is>
      </c>
      <c r="B9" s="18" t="n">
        <v>5.5</v>
      </c>
      <c r="C9" s="18" t="n">
        <v>0.25</v>
      </c>
      <c r="D9" s="18">
        <f>B9*C9</f>
        <v/>
      </c>
    </row>
    <row r="10">
      <c r="A10" s="19" t="inlineStr">
        <is>
          <t>Security</t>
        </is>
      </c>
      <c r="B10" s="19" t="n">
        <v>7.5</v>
      </c>
      <c r="C10" s="19" t="n">
        <v>0.25</v>
      </c>
      <c r="D10" s="19">
        <f>B10*C10</f>
        <v/>
      </c>
    </row>
    <row r="11">
      <c r="A11" s="18" t="inlineStr">
        <is>
          <t>Functionality</t>
        </is>
      </c>
      <c r="B11" s="18" t="n">
        <v>6.5</v>
      </c>
      <c r="C11" s="18" t="n">
        <v>0.2</v>
      </c>
      <c r="D11" s="18">
        <f>B11*C11</f>
        <v/>
      </c>
    </row>
    <row r="12">
      <c r="A12" s="19" t="inlineStr">
        <is>
          <t>UX</t>
        </is>
      </c>
      <c r="B12" s="19" t="n">
        <v>7.5</v>
      </c>
      <c r="C12" s="19" t="n">
        <v>0.15</v>
      </c>
      <c r="D12" s="19">
        <f>B12*C12</f>
        <v/>
      </c>
    </row>
    <row r="13">
      <c r="A13" s="18" t="inlineStr">
        <is>
          <t>Data Integrity</t>
        </is>
      </c>
      <c r="B13" s="18" t="n">
        <v>5</v>
      </c>
      <c r="C13" s="18" t="n">
        <v>0.15</v>
      </c>
      <c r="D13" s="18">
        <f>B13*C13</f>
        <v/>
      </c>
    </row>
    <row r="14"/>
    <row r="15"/>
    <row r="16">
      <c r="A16" s="17" t="inlineStr">
        <is>
          <t>Findings by Severity</t>
        </is>
      </c>
    </row>
    <row r="17">
      <c r="A17" s="20" t="inlineStr">
        <is>
          <t>CRITICAL</t>
        </is>
      </c>
      <c r="B17" s="21">
        <f>COUNTIF('All Findings'!B:B,"CRITICAL")</f>
        <v/>
      </c>
    </row>
    <row r="18">
      <c r="A18" s="22" t="inlineStr">
        <is>
          <t>HIGH</t>
        </is>
      </c>
      <c r="B18" s="21">
        <f>COUNTIF('All Findings'!B:B,"HIGH")</f>
        <v/>
      </c>
    </row>
    <row r="19">
      <c r="A19" s="23" t="inlineStr">
        <is>
          <t>MEDIUM</t>
        </is>
      </c>
      <c r="B19" s="21">
        <f>COUNTIF('All Findings'!B:B,"MEDIUM")</f>
        <v/>
      </c>
    </row>
    <row r="20">
      <c r="A20" s="24" t="inlineStr">
        <is>
          <t>LOW</t>
        </is>
      </c>
      <c r="B20" s="21">
        <f>COUNTIF('All Findings'!B:B,"LOW")</f>
        <v/>
      </c>
    </row>
    <row r="21"/>
    <row r="22">
      <c r="A22" s="17" t="inlineStr">
        <is>
          <t>Score Trajectory (v11 → v17)</t>
        </is>
      </c>
    </row>
    <row r="23">
      <c r="A23" s="18" t="inlineStr">
        <is>
          <t>v11</t>
        </is>
      </c>
      <c r="B23" s="18" t="n">
        <v>3.2</v>
      </c>
      <c r="C23" s="18" t="n">
        <v>21</v>
      </c>
    </row>
    <row r="24">
      <c r="A24" s="19" t="inlineStr">
        <is>
          <t>v12</t>
        </is>
      </c>
      <c r="B24" s="19" t="n">
        <v>4.8</v>
      </c>
      <c r="C24" s="19" t="n">
        <v>21</v>
      </c>
    </row>
    <row r="25">
      <c r="A25" s="18" t="inlineStr">
        <is>
          <t>v13</t>
        </is>
      </c>
      <c r="B25" s="18" t="n">
        <v>5.4</v>
      </c>
      <c r="C25" s="18" t="n">
        <v>20</v>
      </c>
    </row>
    <row r="26">
      <c r="A26" s="19" t="inlineStr">
        <is>
          <t>v14</t>
        </is>
      </c>
      <c r="B26" s="19" t="n">
        <v>6.2</v>
      </c>
      <c r="C26" s="19" t="n">
        <v>21</v>
      </c>
    </row>
    <row r="27">
      <c r="A27" s="18" t="inlineStr">
        <is>
          <t>v15</t>
        </is>
      </c>
      <c r="B27" s="18" t="n">
        <v>7.4</v>
      </c>
      <c r="C27" s="18" t="n">
        <v>16</v>
      </c>
    </row>
    <row r="28">
      <c r="A28" s="19" t="inlineStr">
        <is>
          <t>v16</t>
        </is>
      </c>
      <c r="B28" s="19" t="n">
        <v>7.8</v>
      </c>
      <c r="C28" s="19" t="n">
        <v>13</v>
      </c>
    </row>
    <row r="29">
      <c r="A29" s="18" t="inlineStr">
        <is>
          <t>v17</t>
        </is>
      </c>
      <c r="B29" s="18" t="n">
        <v>7.2</v>
      </c>
      <c r="C29" s="18" t="n">
        <v>18</v>
      </c>
    </row>
    <row r="30"/>
    <row r="31">
      <c r="A31" s="17" t="inlineStr">
        <is>
          <t>Dev Report Verification</t>
        </is>
      </c>
    </row>
    <row r="32">
      <c r="A32" s="25" t="inlineStr">
        <is>
          <t>Accuracy Rate</t>
        </is>
      </c>
      <c r="D32" s="26">
        <f>33%</f>
        <v/>
      </c>
    </row>
    <row r="33">
      <c r="A33" s="27" t="inlineStr">
        <is>
          <t>Claims Verified TRUE</t>
        </is>
      </c>
      <c r="D33" s="28">
        <f>4</f>
        <v/>
      </c>
    </row>
    <row r="34">
      <c r="A34" s="27" t="inlineStr">
        <is>
          <t>Claims Verified FALSE</t>
        </is>
      </c>
      <c r="D34" s="29">
        <f>8</f>
        <v/>
      </c>
    </row>
    <row r="35"/>
    <row r="36">
      <c r="A36" s="30" t="inlineStr">
        <is>
          <t>Deployment Verdict</t>
        </is>
      </c>
    </row>
    <row r="37">
      <c r="A37" s="31" t="inlineStr">
        <is>
          <t>NO-GO FOR PRODUCTION</t>
        </is>
      </c>
    </row>
    <row r="38"/>
    <row r="39">
      <c r="A39" s="20" t="inlineStr">
        <is>
          <t>Blockers (3)</t>
        </is>
      </c>
    </row>
    <row r="40">
      <c r="A40" s="32" t="inlineStr">
        <is>
          <t>V13-002: localStorage admin role (CRITICAL security)</t>
        </is>
      </c>
    </row>
    <row r="41">
      <c r="A41" s="32" t="inlineStr">
        <is>
          <t>V13-012: KYC-rejected user completed Rp 25M transaction</t>
        </is>
      </c>
    </row>
    <row r="42">
      <c r="A42" s="32" t="inlineStr">
        <is>
          <t>V17-007: Dev verification process unreliable (33% accuracy)</t>
        </is>
      </c>
    </row>
    <row r="43">
      <c r="A43" s="22" t="inlineStr">
        <is>
          <t>High-Priority Items (6)</t>
        </is>
      </c>
    </row>
    <row r="44">
      <c r="A44" s="33" t="inlineStr">
        <is>
          <t>V17-001: Home TTFB regression 379ms → 740ms (95% worse)</t>
        </is>
      </c>
    </row>
    <row r="45">
      <c r="A45" s="33" t="inlineStr">
        <is>
          <t>V17-002: Card images broken on Explore (REGRESSION)</t>
        </is>
      </c>
    </row>
    <row r="46">
      <c r="A46" s="33" t="inlineStr">
        <is>
          <t>V13-009: Grade badge UGA 9 vs slab GEM MT 10</t>
        </is>
      </c>
    </row>
    <row r="47">
      <c r="A47" s="33" t="inlineStr">
        <is>
          <t>V13-010: Completed transaction listing still active</t>
        </is>
      </c>
    </row>
    <row r="48">
      <c r="A48" s="33" t="inlineStr">
        <is>
          <t>V13-011: Date mismatch across admin pages</t>
        </is>
      </c>
    </row>
    <row r="49">
      <c r="A49" s="33" t="inlineStr">
        <is>
          <t>V14-002: Ohtani listing shows Aaron Judge image</t>
        </is>
      </c>
    </row>
  </sheetData>
  <mergeCells count="30">
    <mergeCell ref="A41:F41"/>
    <mergeCell ref="A16:F16"/>
    <mergeCell ref="A46:F46"/>
    <mergeCell ref="D32:F32"/>
    <mergeCell ref="A37:F37"/>
    <mergeCell ref="A3:C3"/>
    <mergeCell ref="A33:C33"/>
    <mergeCell ref="A42:F42"/>
    <mergeCell ref="A47:F47"/>
    <mergeCell ref="A5:C5"/>
    <mergeCell ref="A32:C32"/>
    <mergeCell ref="D4:F4"/>
    <mergeCell ref="D3:F3"/>
    <mergeCell ref="A22:F22"/>
    <mergeCell ref="A4:C4"/>
    <mergeCell ref="D33:F33"/>
    <mergeCell ref="A43:F43"/>
    <mergeCell ref="D5:F5"/>
    <mergeCell ref="A44:F44"/>
    <mergeCell ref="A31:F31"/>
    <mergeCell ref="A40:F40"/>
    <mergeCell ref="A34:C34"/>
    <mergeCell ref="A48:F48"/>
    <mergeCell ref="A39:F39"/>
    <mergeCell ref="D34:F34"/>
    <mergeCell ref="A49:F49"/>
    <mergeCell ref="A36:F36"/>
    <mergeCell ref="A1:F1"/>
    <mergeCell ref="A45:F4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2026-04-03T15:51:56Z</dcterms:created>
  <dcterms:modified xmlns:dcterms="http://purl.org/dc/terms/" xmlns:xsi="http://www.w3.org/2001/XMLSchema-instance" xsi:type="dcterms:W3CDTF">2026-04-03T15:52:03Z</dcterms:modified>
</cp:coreProperties>
</file>