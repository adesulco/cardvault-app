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udit" sheetId="1" state="visible" r:id="rId1"/>
    <sheet xmlns:r="http://schemas.openxmlformats.org/officeDocument/2006/relationships" name="Summary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50" customWidth="1" min="5" max="5"/>
    <col width="10" customWidth="1" min="6" max="6"/>
    <col width="15" customWidth="1" min="7" max="7"/>
  </cols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Site</t>
        </is>
      </c>
      <c r="D1" s="1" t="inlineStr">
        <is>
          <t>Status</t>
        </is>
      </c>
      <c r="E1" s="1" t="inlineStr">
        <is>
          <t>Details</t>
        </is>
      </c>
      <c r="F1" s="1" t="inlineStr">
        <is>
          <t>Severity</t>
        </is>
      </c>
      <c r="G1" s="1" t="inlineStr">
        <is>
          <t>OWASP Category</t>
        </is>
      </c>
    </row>
    <row r="2">
      <c r="A2" s="2" t="inlineStr">
        <is>
          <t>Transport Security</t>
        </is>
      </c>
      <c r="B2" s="2" t="inlineStr">
        <is>
          <t>HSTS Header</t>
        </is>
      </c>
      <c r="C2" s="2" t="inlineStr">
        <is>
          <t>Both</t>
        </is>
      </c>
      <c r="D2" s="2" t="inlineStr">
        <is>
          <t>PASS</t>
        </is>
      </c>
      <c r="E2" s="2" t="inlineStr">
        <is>
          <t>max-age=31536000; includeSubDomains; preload</t>
        </is>
      </c>
      <c r="F2" s="2" t="inlineStr"/>
      <c r="G2" s="2" t="inlineStr">
        <is>
          <t>A02:2021</t>
        </is>
      </c>
    </row>
    <row r="3">
      <c r="A3" s="3" t="inlineStr">
        <is>
          <t>Content Security</t>
        </is>
      </c>
      <c r="B3" s="3" t="inlineStr">
        <is>
          <t>CSP with Nonces</t>
        </is>
      </c>
      <c r="C3" s="3" t="inlineStr">
        <is>
          <t>Both</t>
        </is>
      </c>
      <c r="D3" s="3" t="inlineStr">
        <is>
          <t>PASS</t>
        </is>
      </c>
      <c r="E3" s="3" t="inlineStr">
        <is>
          <t>Full policy: default-src 'self'; script-src nonce + strict-dynamic</t>
        </is>
      </c>
      <c r="F3" s="3" t="inlineStr"/>
      <c r="G3" s="3" t="inlineStr">
        <is>
          <t>A03:2021</t>
        </is>
      </c>
    </row>
    <row r="4">
      <c r="A4" s="2" t="inlineStr">
        <is>
          <t>Clickjacking</t>
        </is>
      </c>
      <c r="B4" s="2" t="inlineStr">
        <is>
          <t>X-Frame-Options</t>
        </is>
      </c>
      <c r="C4" s="2" t="inlineStr">
        <is>
          <t>Both</t>
        </is>
      </c>
      <c r="D4" s="2" t="inlineStr">
        <is>
          <t>PASS</t>
        </is>
      </c>
      <c r="E4" s="2" t="inlineStr">
        <is>
          <t>DENY</t>
        </is>
      </c>
      <c r="F4" s="2" t="inlineStr"/>
      <c r="G4" s="2" t="inlineStr">
        <is>
          <t>A05:2021</t>
        </is>
      </c>
    </row>
    <row r="5">
      <c r="A5" s="3" t="inlineStr">
        <is>
          <t>MIME Sniffing</t>
        </is>
      </c>
      <c r="B5" s="3" t="inlineStr">
        <is>
          <t>X-Content-Type-Options</t>
        </is>
      </c>
      <c r="C5" s="3" t="inlineStr">
        <is>
          <t>Both</t>
        </is>
      </c>
      <c r="D5" s="3" t="inlineStr">
        <is>
          <t>PASS</t>
        </is>
      </c>
      <c r="E5" s="3" t="inlineStr">
        <is>
          <t>nosniff</t>
        </is>
      </c>
      <c r="F5" s="3" t="inlineStr"/>
      <c r="G5" s="3" t="inlineStr">
        <is>
          <t>A05:2021</t>
        </is>
      </c>
    </row>
    <row r="6">
      <c r="A6" s="2" t="inlineStr">
        <is>
          <t>Referrer Leakage</t>
        </is>
      </c>
      <c r="B6" s="2" t="inlineStr">
        <is>
          <t>Referrer-Policy</t>
        </is>
      </c>
      <c r="C6" s="2" t="inlineStr">
        <is>
          <t>Both</t>
        </is>
      </c>
      <c r="D6" s="2" t="inlineStr">
        <is>
          <t>PASS</t>
        </is>
      </c>
      <c r="E6" s="2" t="inlineStr">
        <is>
          <t>strict-origin-when-cross-origin</t>
        </is>
      </c>
      <c r="F6" s="2" t="inlineStr"/>
      <c r="G6" s="2" t="inlineStr">
        <is>
          <t>A01:2021</t>
        </is>
      </c>
    </row>
    <row r="7">
      <c r="A7" s="3" t="inlineStr">
        <is>
          <t>Feature Policy</t>
        </is>
      </c>
      <c r="B7" s="3" t="inlineStr">
        <is>
          <t>Permissions-Policy</t>
        </is>
      </c>
      <c r="C7" s="3" t="inlineStr">
        <is>
          <t>Both</t>
        </is>
      </c>
      <c r="D7" s="3" t="inlineStr">
        <is>
          <t>PASS</t>
        </is>
      </c>
      <c r="E7" s="3" t="inlineStr">
        <is>
          <t>camera=(), microphone=(), geolocation=(), payment=(self)</t>
        </is>
      </c>
      <c r="F7" s="3" t="inlineStr"/>
      <c r="G7" s="3" t="inlineStr">
        <is>
          <t>A05:2021</t>
        </is>
      </c>
    </row>
    <row r="8">
      <c r="A8" s="2" t="inlineStr">
        <is>
          <t>Authentication</t>
        </is>
      </c>
      <c r="B8" s="2" t="inlineStr">
        <is>
          <t>API Auth Enforcement</t>
        </is>
      </c>
      <c r="C8" s="2" t="inlineStr">
        <is>
          <t>Admin</t>
        </is>
      </c>
      <c r="D8" s="2" t="inlineStr">
        <is>
          <t>PASS</t>
        </is>
      </c>
      <c r="E8" s="2" t="inlineStr">
        <is>
          <t>All 4 endpoints return 401 without session</t>
        </is>
      </c>
      <c r="F8" s="2" t="inlineStr"/>
      <c r="G8" s="2" t="inlineStr">
        <is>
          <t>A01:2021</t>
        </is>
      </c>
    </row>
    <row r="9">
      <c r="A9" s="3" t="inlineStr">
        <is>
          <t>Authentication</t>
        </is>
      </c>
      <c r="B9" s="3" t="inlineStr">
        <is>
          <t>Route Auth Redirect</t>
        </is>
      </c>
      <c r="C9" s="3" t="inlineStr">
        <is>
          <t>Beta</t>
        </is>
      </c>
      <c r="D9" s="3" t="inlineStr">
        <is>
          <t>PASS</t>
        </is>
      </c>
      <c r="E9" s="3" t="inlineStr">
        <is>
          <t>/explore, /sell, /profile, /messages redirect to login</t>
        </is>
      </c>
      <c r="F9" s="3" t="inlineStr"/>
      <c r="G9" s="3" t="inlineStr">
        <is>
          <t>A01:2021</t>
        </is>
      </c>
    </row>
    <row r="10">
      <c r="A10" s="2" t="inlineStr">
        <is>
          <t>Data Protection</t>
        </is>
      </c>
      <c r="B10" s="2" t="inlineStr">
        <is>
          <t>/api/listings Auth</t>
        </is>
      </c>
      <c r="C10" s="2" t="inlineStr">
        <is>
          <t>Beta</t>
        </is>
      </c>
      <c r="D10" s="2" t="inlineStr">
        <is>
          <t>PASS</t>
        </is>
      </c>
      <c r="E10" s="2" t="inlineStr">
        <is>
          <t>Returns 401 without valid session (was 200 in V21)</t>
        </is>
      </c>
      <c r="F10" s="2" t="inlineStr"/>
      <c r="G10" s="2" t="inlineStr">
        <is>
          <t>A01:2021</t>
        </is>
      </c>
    </row>
    <row r="11">
      <c r="A11" s="3" t="inlineStr">
        <is>
          <t>Information Disclosure</t>
        </is>
      </c>
      <c r="B11" s="3" t="inlineStr">
        <is>
          <t>Version Number</t>
        </is>
      </c>
      <c r="C11" s="3" t="inlineStr">
        <is>
          <t>Both</t>
        </is>
      </c>
      <c r="D11" s="3" t="inlineStr">
        <is>
          <t>FAIL</t>
        </is>
      </c>
      <c r="E11" s="3" t="inlineStr">
        <is>
          <t>v0.9.0 visible in UI top-right</t>
        </is>
      </c>
      <c r="F11" s="3" t="inlineStr">
        <is>
          <t>LOW</t>
        </is>
      </c>
      <c r="G11" s="3" t="inlineStr">
        <is>
          <t>A01:2021</t>
        </is>
      </c>
    </row>
    <row r="12">
      <c r="A12" s="2" t="inlineStr">
        <is>
          <t>Information Disclosure</t>
        </is>
      </c>
      <c r="B12" s="2" t="inlineStr">
        <is>
          <t>Admin Email Exposed</t>
        </is>
      </c>
      <c r="C12" s="2" t="inlineStr">
        <is>
          <t>Admin</t>
        </is>
      </c>
      <c r="D12" s="2" t="inlineStr">
        <is>
          <t>FAIL</t>
        </is>
      </c>
      <c r="E12" s="2" t="inlineStr">
        <is>
          <t>Email plaintext in sidebar</t>
        </is>
      </c>
      <c r="F12" s="2" t="inlineStr">
        <is>
          <t>LOW</t>
        </is>
      </c>
      <c r="G12" s="2" t="inlineStr">
        <is>
          <t>A01:2021</t>
        </is>
      </c>
    </row>
    <row r="13">
      <c r="A13" s="3" t="inlineStr">
        <is>
          <t>Session Management</t>
        </is>
      </c>
      <c r="B13" s="3" t="inlineStr">
        <is>
          <t>NextAuth Session</t>
        </is>
      </c>
      <c r="C13" s="3" t="inlineStr">
        <is>
          <t>Both</t>
        </is>
      </c>
      <c r="D13" s="3" t="inlineStr">
        <is>
          <t>PASS</t>
        </is>
      </c>
      <c r="E13" s="3" t="inlineStr">
        <is>
          <t>Secure cookie-based sessions with cv_session_token</t>
        </is>
      </c>
      <c r="F13" s="3" t="inlineStr"/>
      <c r="G13" s="3" t="inlineStr">
        <is>
          <t>A07:2021</t>
        </is>
      </c>
    </row>
    <row r="14">
      <c r="A14" s="2" t="inlineStr">
        <is>
          <t>Input Validation</t>
        </is>
      </c>
      <c r="B14" s="2" t="inlineStr">
        <is>
          <t>KYC OTP Protection</t>
        </is>
      </c>
      <c r="C14" s="2" t="inlineStr">
        <is>
          <t>Admin</t>
        </is>
      </c>
      <c r="D14" s="2" t="inlineStr">
        <is>
          <t>PASS</t>
        </is>
      </c>
      <c r="E14" s="2" t="inlineStr">
        <is>
          <t>OTP required for KYC page access</t>
        </is>
      </c>
      <c r="F14" s="2" t="inlineStr"/>
      <c r="G14" s="2" t="inlineStr">
        <is>
          <t>A04:2021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4" t="inlineStr">
        <is>
          <t>Security Audit Summary</t>
        </is>
      </c>
      <c r="B1" s="4" t="inlineStr"/>
    </row>
    <row r="2">
      <c r="A2" s="4" t="inlineStr"/>
      <c r="B2" s="4" t="inlineStr"/>
    </row>
    <row r="3">
      <c r="A3" s="4" t="inlineStr">
        <is>
          <t>Total Checks</t>
        </is>
      </c>
      <c r="B3" s="4">
        <f>COUNTA('Security Audit'!A2:A14)</f>
        <v/>
      </c>
    </row>
    <row r="4">
      <c r="A4" s="4" t="inlineStr">
        <is>
          <t>Passed</t>
        </is>
      </c>
      <c r="B4" s="4">
        <f>COUNTIF('Security Audit'!D2:D14,"PASS")</f>
        <v/>
      </c>
    </row>
    <row r="5">
      <c r="A5" s="4" t="inlineStr">
        <is>
          <t>Failed</t>
        </is>
      </c>
      <c r="B5" s="4">
        <f>COUNTIF('Security Audit'!D2:D14,"FAIL")</f>
        <v/>
      </c>
    </row>
    <row r="6">
      <c r="A6" s="4" t="inlineStr"/>
      <c r="B6" s="4" t="inlineStr"/>
    </row>
    <row r="7">
      <c r="A7" s="4" t="inlineStr">
        <is>
          <t>Pass Rate (%)</t>
        </is>
      </c>
      <c r="B7" s="4">
        <f>COUNTIF('Security Audit'!D2:D14,"PASS")/COUNTA('Security Audit'!A2:A14)*100</f>
        <v/>
      </c>
    </row>
    <row r="8">
      <c r="A8" s="4" t="inlineStr">
        <is>
          <t>Security Score</t>
        </is>
      </c>
      <c r="B8" s="4" t="inlineStr">
        <is>
          <t>9.5/10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2026-04-04T07:33:54Z</dcterms:created>
  <dcterms:modified xmlns:dcterms="http://purl.org/dc/terms/" xmlns:xsi="http://www.w3.org/2001/XMLSchema-instance" xsi:type="dcterms:W3CDTF">2026-04-04T07:33:57Z</dcterms:modified>
</cp:coreProperties>
</file>